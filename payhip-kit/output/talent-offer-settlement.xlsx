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dc42974f4e4008" /></Relationships>
</file>

<file path=xl/workbook.xml><?xml version="1.0" encoding="utf-8"?>
<x:workbook xmlns:x="http://schemas.openxmlformats.org/spreadsheetml/2006/main">
  <x:sheets>
    <x:sheet xmlns:r="http://schemas.openxmlformats.org/officeDocument/2006/relationships" name="Offer" sheetId="1" r:id="R0f0655813dba4543"/>
    <x:sheet xmlns:r="http://schemas.openxmlformats.org/officeDocument/2006/relationships" name="Event Net" sheetId="2" r:id="R42ab63c7b344445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mm/dd/yy"/>
    <x:numFmt numFmtId="201" formatCode="#,##0"/>
    <x:numFmt numFmtId="202" formatCode="&quot;$&quot;#,##0"/>
    <x:numFmt numFmtId="203" formatCode="0%"/>
    <x:numFmt numFmtId="204" formatCode="&quot;$&quot;#,##0;[Red](&quot;$&quot;#,##0);-"/>
  </x:numFmts>
  <x:fonts count="8">
    <x:font>
      <x:sz val="11"/>
      <x:name val="Carlito"/>
    </x:font>
    <x:font>
      <x:b/>
      <x:sz val="16"/>
      <x:color rgb="FF2D2438"/>
      <x:name val="Arial"/>
    </x:font>
    <x:font>
      <x:i/>
      <x:sz val="10"/>
      <x:color rgb="FF655B70"/>
      <x:name val="Arial"/>
    </x:font>
    <x:font>
      <x:sz val="10"/>
      <x:color rgb="FF2D2438"/>
      <x:name val="Arial"/>
    </x:font>
    <x:font>
      <x:b/>
      <x:sz val="10"/>
      <x:color rgb="FF2D2438"/>
      <x:name val="Arial"/>
    </x:font>
    <x:font>
      <x:i/>
      <x:sz val="10"/>
      <x:color rgb="FF2D2438"/>
      <x:name val="Arial"/>
    </x:font>
    <x:font>
      <x:b/>
      <x:sz val="10"/>
      <x:color rgb="FFFFFFFF"/>
      <x:name val="Arial"/>
    </x:font>
    <x:font>
      <x:sz val="10"/>
      <x:color rgb="FF16803A"/>
      <x:name val="Arial"/>
    </x:font>
  </x:fonts>
  <x:fills count="5">
    <x:fill>
      <x:patternFill patternType="none"/>
    </x:fill>
    <x:fill>
      <x:patternFill patternType="gray125"/>
    </x:fill>
    <x:fill>
      <x:patternFill patternType="solid">
        <x:fgColor rgb="FF2D2438"/>
      </x:patternFill>
    </x:fill>
    <x:fill>
      <x:patternFill patternType="solid">
        <x:fgColor rgb="FFF7F3EC"/>
      </x:patternFill>
    </x:fill>
    <x:fill>
      <x:patternFill patternType="solid">
        <x:fgColor rgb="FFFFF8E7"/>
      </x:patternFill>
    </x:fill>
  </x:fills>
  <x:borders count="9">
    <x:border>
      <x:left/>
      <x:right/>
      <x:top/>
      <x:bottom/>
      <x:diagonal/>
    </x:border>
    <x:border>
      <x:left/>
      <x:right/>
      <x:top/>
      <x:bottom style="medium">
        <x:color rgb="FFF5B942"/>
      </x:bottom>
      <x:diagonal/>
    </x:border>
    <x:border>
      <x:left/>
      <x:right/>
      <x:top/>
      <x:bottom style="thin">
        <x:color rgb="FFD9D0C4"/>
      </x:bottom>
      <x:diagonal/>
    </x:border>
    <x:border>
      <x:left style="thin">
        <x:color rgb="FFD9D0C4"/>
      </x:left>
      <x:right/>
      <x:top style="thin">
        <x:color rgb="FFD9D0C4"/>
      </x:top>
      <x:bottom style="thin">
        <x:color rgb="FFD9D0C4"/>
      </x:bottom>
      <x:diagonal/>
    </x:border>
    <x:border>
      <x:left/>
      <x:right style="thin">
        <x:color rgb="FFD9D0C4"/>
      </x:right>
      <x:top style="thin">
        <x:color rgb="FFD9D0C4"/>
      </x:top>
      <x:bottom style="thin">
        <x:color rgb="FFD9D0C4"/>
      </x:bottom>
      <x:diagonal/>
    </x:border>
    <x:border>
      <x:left/>
      <x:right style="thin">
        <x:color rgb="FFFFFFFF"/>
      </x:right>
      <x:top/>
      <x:bottom style="medium">
        <x:color rgb="FFF5B942"/>
      </x:bottom>
      <x:diagonal/>
    </x:border>
    <x:border>
      <x:left style="thin">
        <x:color rgb="FFFFFFFF"/>
      </x:left>
      <x:right style="thin">
        <x:color rgb="FFFFFFFF"/>
      </x:right>
      <x:top/>
      <x:bottom style="medium">
        <x:color rgb="FFF5B942"/>
      </x:bottom>
      <x:diagonal/>
    </x:border>
    <x:border>
      <x:left style="thin">
        <x:color rgb="FFFFFFFF"/>
      </x:left>
      <x:right/>
      <x:top/>
      <x:bottom style="medium">
        <x:color rgb="FFF5B942"/>
      </x:bottom>
      <x:diagonal/>
    </x:border>
    <x:border>
      <x:left/>
      <x:right/>
      <x:top style="medium">
        <x:color rgb="FFF5B942"/>
      </x:top>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4" fillId="0" borderId="2" xfId="0" applyNumberFormat="1" applyFont="1" applyFill="1" applyBorder="1" applyAlignment="1">
      <x:alignment vertical="center"/>
    </x:xf>
    <x:xf numFmtId="200" fontId="4" fillId="0" borderId="0" xfId="0" applyNumberFormat="1" applyFont="1" applyFill="1" applyBorder="1" applyAlignment="1">
      <x:alignment vertical="center"/>
    </x:xf>
    <x:xf numFmtId="201" fontId="4" fillId="0" borderId="2" xfId="0" applyNumberFormat="1" applyFont="1" applyFill="1" applyBorder="1" applyAlignment="1">
      <x:alignment vertical="center"/>
    </x:xf>
    <x:xf numFmtId="202" fontId="4"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3" xfId="0" applyNumberFormat="1" applyFont="1" applyFill="1" applyBorder="1" applyAlignment="1">
      <x:alignment vertical="center"/>
    </x:xf>
    <x:xf numFmtId="0" fontId="4" fillId="3" borderId="4" xfId="0" applyNumberFormat="1" applyFont="1" applyFill="1" applyBorder="1" applyAlignment="1">
      <x:alignment vertical="center"/>
    </x:xf>
    <x:xf numFmtId="204" fontId="4" fillId="3" borderId="4" xfId="0" applyNumberFormat="1" applyFont="1" applyFill="1" applyBorder="1" applyAlignment="1">
      <x:alignment vertical="center"/>
    </x:xf>
    <x:xf numFmtId="0" fontId="3"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3" fillId="0" borderId="2" xfId="0" applyNumberFormat="1" applyFont="1" applyFill="1" applyBorder="1" applyAlignment="1">
      <x:alignment vertical="center"/>
    </x:xf>
    <x:xf numFmtId="200" fontId="3" fillId="0" borderId="2" xfId="0" applyNumberFormat="1" applyFont="1" applyFill="1" applyBorder="1" applyAlignment="1">
      <x:alignment vertical="center"/>
    </x:xf>
    <x:xf numFmtId="200" fontId="3" fillId="4" borderId="0" xfId="0" applyNumberFormat="1" applyFont="1" applyFill="1" applyBorder="1" applyAlignment="1">
      <x:alignment vertical="center"/>
    </x:xf>
    <x:xf numFmtId="203" fontId="3" fillId="4" borderId="0" xfId="0" applyNumberFormat="1" applyFont="1" applyFill="1" applyBorder="1" applyAlignment="1">
      <x:alignment vertical="center"/>
    </x:xf>
    <x:xf numFmtId="202" fontId="3" fillId="4" borderId="0"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7" xfId="0" applyNumberFormat="1" applyFont="1" applyFill="1" applyBorder="1" applyAlignment="1">
      <x:alignment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0" fontId="6" fillId="2" borderId="7" xfId="0" applyNumberFormat="1" applyFont="1" applyFill="1" applyBorder="1" applyAlignment="1">
      <x:alignment horizontal="center" vertical="center"/>
    </x:xf>
    <x:xf numFmtId="201" fontId="3" fillId="4" borderId="0" xfId="0" applyNumberFormat="1" applyFont="1" applyFill="1" applyBorder="1" applyAlignment="1">
      <x:alignment vertical="center"/>
    </x:xf>
    <x:xf numFmtId="202" fontId="3" fillId="0" borderId="0" xfId="0" applyNumberFormat="1" applyFont="1" applyFill="1" applyBorder="1" applyAlignment="1">
      <x:alignment vertical="center"/>
    </x:xf>
    <x:xf numFmtId="204" fontId="3"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0" fontId="4" fillId="3" borderId="8" xfId="0" applyNumberFormat="1" applyFont="1" applyFill="1" applyBorder="1" applyAlignment="1">
      <x:alignment vertical="center"/>
    </x:xf>
    <x:xf numFmtId="202" fontId="4" fillId="3" borderId="8" xfId="0" applyNumberFormat="1" applyFont="1" applyFill="1" applyBorder="1" applyAlignment="1">
      <x:alignment vertical="center"/>
    </x:xf>
    <x:xf numFmtId="204" fontId="3" fillId="4" borderId="0" xfId="0" applyNumberFormat="1" applyFont="1" applyFill="1" applyBorder="1" applyAlignment="1">
      <x:alignment vertical="center"/>
    </x:xf>
    <x:xf numFmtId="204" fontId="4" fillId="0"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0" borderId="8" xfId="0" applyNumberFormat="1" applyFont="1" applyFill="1" applyBorder="1" applyAlignment="1">
      <x:alignment vertical="center"/>
    </x:xf>
    <x:xf numFmtId="204" fontId="4" fillId="0" borderId="8" xfId="0" applyNumberFormat="1" applyFont="1" applyFill="1" applyBorder="1" applyAlignment="1">
      <x:alignment vertical="center"/>
    </x:xf>
    <x:xf numFmtId="0" fontId="4" fillId="4" borderId="8" xfId="0" applyNumberFormat="1" applyFont="1" applyFill="1" applyBorder="1" applyAlignment="1">
      <x:alignment vertical="center"/>
    </x:xf>
  </x:cellXfs>
  <x:cellStyles count="1">
    <x:cellStyle name="Normal" xfId="0"/>
  </x:cellStyles>
  <x:dxfs count="2">
    <x:dxf>
      <x:font>
        <x:b/>
        <x:color rgb="FF991B1B"/>
      </x:font>
      <x:fill>
        <x:patternFill patternType="solid">
          <x:bgColor rgb="FFFCE4E4"/>
        </x:patternFill>
      </x:fill>
    </x:dxf>
    <x:dxf>
      <x:font>
        <x:b/>
        <x:color rgb="FF166534"/>
      </x:font>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7c2567ed234307" /><Relationship Type="http://schemas.openxmlformats.org/officeDocument/2006/relationships/theme" Target="/xl/theme/theme1.xml" Id="R12bed5875c524153" /><Relationship Type="http://schemas.openxmlformats.org/officeDocument/2006/relationships/sharedStrings" Target="/xl/sharedStrings.xml" Id="Rcbaecac5792743d7" /><Relationship Type="http://schemas.openxmlformats.org/officeDocument/2006/relationships/worksheet" Target="/xl/worksheets/sheet1.xml" Id="R0f0655813dba4543" /><Relationship Type="http://schemas.openxmlformats.org/officeDocument/2006/relationships/worksheet" Target="/xl/worksheets/sheet2.xml" Id="R42ab63c7b34444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D2438"/>
  </x:sheetPr>
  <x:sheetViews>
    <x:sheetView showGridLines="0" workbookViewId="0">
      <x:pane ySplit="6" topLeftCell="A7" activePane="bottomLeft" state="frozen"/>
    </x:sheetView>
  </x:sheetViews>
  <x:sheetFormatPr defaultRowHeight="15"/>
  <x:cols>
    <x:col min="1" max="1" width="18" hidden="0" customWidth="1"/>
    <x:col min="2" max="2" width="15" hidden="0" customWidth="1"/>
    <x:col min="3" max="3" width="17" hidden="0" customWidth="1"/>
    <x:col min="4" max="4" width="17" hidden="0" customWidth="1"/>
    <x:col min="5" max="5" width="17" hidden="0" customWidth="1"/>
    <x:col min="6" max="6" width="17" hidden="0" customWidth="1"/>
    <x:col min="7" max="7" width="18" hidden="0" customWidth="1"/>
    <x:col min="8" max="8" width="17" hidden="0" customWidth="1"/>
  </x:cols>
  <x:sheetData>
    <x:row r="1">
      <x:c r="A1" s="8"/>
      <x:c r="B1" s="8"/>
      <x:c r="C1" s="8"/>
      <x:c r="D1" s="8"/>
      <x:c r="E1" s="8"/>
      <x:c r="F1" s="8"/>
      <x:c r="G1" s="8"/>
      <x:c r="H1" s="8"/>
    </x:row>
    <x:row r="2" ht="27" customHeight="1">
      <x:c r="A2" s="9" t="str">
        <x:v>Talent Offer</x:v>
      </x:c>
      <x:c r="B2" s="8"/>
      <x:c r="C2" s="8"/>
      <x:c r="D2" s="8"/>
      <x:c r="E2" s="8"/>
      <x:c r="F2" s="8"/>
      <x:c r="G2" s="8"/>
      <x:c r="H2" s="8"/>
    </x:row>
    <x:row r="3" ht="20" customHeight="1">
      <x:c r="A3" s="10" t="str">
        <x:v>A clean, agent-facing summary linked to the event economics model.</x:v>
      </x:c>
      <x:c r="B3" s="8"/>
      <x:c r="C3" s="8"/>
      <x:c r="D3" s="8"/>
      <x:c r="E3" s="8"/>
      <x:c r="F3" s="8"/>
      <x:c r="G3" s="8"/>
      <x:c r="H3" s="8"/>
    </x:row>
    <x:row r="4">
      <x:c r="A4" s="11"/>
      <x:c r="B4" s="11"/>
      <x:c r="C4" s="11"/>
      <x:c r="D4" s="11"/>
      <x:c r="E4" s="11"/>
      <x:c r="F4" s="11"/>
      <x:c r="G4" s="11"/>
      <x:c r="H4" s="11"/>
    </x:row>
    <x:row r="5">
      <x:c r="A5" s="8"/>
      <x:c r="B5" s="8"/>
      <x:c r="C5" s="8"/>
      <x:c r="D5" s="8"/>
      <x:c r="E5" s="8"/>
      <x:c r="F5" s="8"/>
      <x:c r="G5" s="8"/>
      <x:c r="H5" s="8"/>
    </x:row>
    <x:row r="6" ht="25" customHeight="1">
      <x:c r="A6" s="13" t="str">
        <x:v>EVENT</x:v>
      </x:c>
      <x:c r="B6" s="8"/>
      <x:c r="C6" s="8"/>
      <x:c r="D6" s="8"/>
      <x:c r="E6" s="8"/>
      <x:c r="F6" s="8"/>
      <x:c r="G6" s="8"/>
      <x:c r="H6" s="8"/>
    </x:row>
    <x:row r="7">
      <x:c r="A7" s="8"/>
      <x:c r="B7" s="8"/>
      <x:c r="C7" s="8"/>
      <x:c r="D7" s="8"/>
      <x:c r="E7" s="8"/>
      <x:c r="F7" s="8"/>
      <x:c r="G7" s="8"/>
      <x:c r="H7" s="8"/>
    </x:row>
    <x:row r="8">
      <x:c r="A8" s="9" t="str">
        <x:v>Artist</x:v>
      </x:c>
      <x:c r="B8" s="8"/>
      <x:c r="C8" s="9" t="str">
        <x:f>'Event Net'!B6</x:f>
        <x:v>Example Artist</x:v>
      </x:c>
      <x:c r="D8" s="8"/>
      <x:c r="E8" s="8"/>
      <x:c r="F8" s="8"/>
      <x:c r="G8" s="8"/>
      <x:c r="H8" s="8"/>
    </x:row>
    <x:row r="9">
      <x:c r="A9" s="9" t="str">
        <x:v>Event</x:v>
      </x:c>
      <x:c r="B9" s="8"/>
      <x:c r="C9" s="9" t="str">
        <x:f>'Event Net'!B7</x:f>
        <x:v>Example Fall Show</x:v>
      </x:c>
      <x:c r="D9" s="8"/>
      <x:c r="E9" s="8"/>
      <x:c r="F9" s="8"/>
      <x:c r="G9" s="8"/>
      <x:c r="H9" s="8"/>
    </x:row>
    <x:row r="10">
      <x:c r="A10" s="9" t="str">
        <x:v>Date</x:v>
      </x:c>
      <x:c r="B10" s="8"/>
      <x:c r="C10" s="15" t="n">
        <x:f>'Event Net'!B8</x:f>
        <x:v>46341.5</x:v>
      </x:c>
      <x:c r="D10" s="8"/>
      <x:c r="E10" s="8"/>
      <x:c r="F10" s="8"/>
      <x:c r="G10" s="8"/>
      <x:c r="H10" s="8"/>
    </x:row>
    <x:row r="11">
      <x:c r="A11" s="9" t="str">
        <x:v>Venue</x:v>
      </x:c>
      <x:c r="B11" s="8"/>
      <x:c r="C11" s="9" t="str">
        <x:f>'Event Net'!B9</x:f>
        <x:v>Main Hall</x:v>
      </x:c>
      <x:c r="D11" s="8"/>
      <x:c r="E11" s="8"/>
      <x:c r="F11" s="8"/>
      <x:c r="G11" s="8"/>
      <x:c r="H11" s="8"/>
    </x:row>
    <x:row r="12">
      <x:c r="A12" s="9" t="str">
        <x:v>City</x:v>
      </x:c>
      <x:c r="B12" s="8"/>
      <x:c r="C12" s="9" t="str">
        <x:f>'Event Net'!B10</x:f>
        <x:v>New York, NY</x:v>
      </x:c>
      <x:c r="D12" s="8"/>
      <x:c r="E12" s="8"/>
      <x:c r="F12" s="8"/>
      <x:c r="G12" s="8"/>
      <x:c r="H12" s="8"/>
    </x:row>
    <x:row r="13">
      <x:c r="A13" s="9" t="str">
        <x:v>Capacity</x:v>
      </x:c>
      <x:c r="B13" s="8"/>
      <x:c r="C13" s="16" t="n">
        <x:f>'Event Net'!B11</x:f>
        <x:v>450</x:v>
      </x:c>
      <x:c r="D13" s="8"/>
      <x:c r="E13" s="8"/>
      <x:c r="F13" s="8"/>
      <x:c r="G13" s="8"/>
      <x:c r="H13" s="8"/>
    </x:row>
    <x:row r="14">
      <x:c r="A14" s="8"/>
      <x:c r="B14" s="8"/>
      <x:c r="C14" s="8"/>
      <x:c r="D14" s="8"/>
      <x:c r="E14" s="8"/>
      <x:c r="F14" s="8"/>
      <x:c r="G14" s="8"/>
      <x:c r="H14" s="8"/>
    </x:row>
    <x:row r="15">
      <x:c r="A15" s="8"/>
      <x:c r="B15" s="8"/>
      <x:c r="C15" s="8"/>
      <x:c r="D15" s="8"/>
      <x:c r="E15" s="8"/>
      <x:c r="F15" s="8"/>
      <x:c r="G15" s="8"/>
      <x:c r="H15" s="8"/>
    </x:row>
    <x:row r="16" ht="25" customHeight="1">
      <x:c r="A16" s="13" t="str">
        <x:v>DEAL TERMS</x:v>
      </x:c>
      <x:c r="B16" s="8"/>
      <x:c r="C16" s="8"/>
      <x:c r="D16" s="8"/>
      <x:c r="E16" s="8"/>
      <x:c r="F16" s="8"/>
      <x:c r="G16" s="8"/>
      <x:c r="H16" s="8"/>
    </x:row>
    <x:row r="17">
      <x:c r="A17" s="8"/>
      <x:c r="B17" s="8"/>
      <x:c r="C17" s="8"/>
      <x:c r="D17" s="8"/>
      <x:c r="E17" s="8"/>
      <x:c r="F17" s="8"/>
      <x:c r="G17" s="8"/>
      <x:c r="H17" s="8"/>
    </x:row>
    <x:row r="18">
      <x:c r="A18" s="9" t="str">
        <x:v>Deal type</x:v>
      </x:c>
      <x:c r="B18" s="8"/>
      <x:c r="C18" s="9" t="str">
        <x:f>'Event Net'!B25</x:f>
        <x:v>Versus</x:v>
      </x:c>
      <x:c r="D18" s="8"/>
      <x:c r="E18" s="8"/>
      <x:c r="F18" s="8"/>
      <x:c r="G18" s="8"/>
      <x:c r="H18" s="8"/>
    </x:row>
    <x:row r="19">
      <x:c r="A19" s="9" t="str">
        <x:v>Guarantee</x:v>
      </x:c>
      <x:c r="B19" s="8"/>
      <x:c r="C19" s="17" t="n">
        <x:f>'Event Net'!B26</x:f>
        <x:v>1800</x:v>
      </x:c>
      <x:c r="D19" s="8"/>
      <x:c r="E19" s="8"/>
      <x:c r="F19" s="8"/>
      <x:c r="G19" s="8"/>
      <x:c r="H19" s="8"/>
    </x:row>
    <x:row r="20">
      <x:c r="A20" s="9" t="str">
        <x:v>Artist share</x:v>
      </x:c>
      <x:c r="B20" s="8"/>
      <x:c r="C20" s="18" t="n">
        <x:f>'Event Net'!B27</x:f>
        <x:v>0.8</x:v>
      </x:c>
      <x:c r="D20" s="8"/>
      <x:c r="E20" s="8"/>
      <x:c r="F20" s="8"/>
      <x:c r="G20" s="8"/>
      <x:c r="H20" s="8"/>
    </x:row>
    <x:row r="21">
      <x:c r="A21" s="9" t="str">
        <x:v>Settlement basis</x:v>
      </x:c>
      <x:c r="B21" s="8"/>
      <x:c r="C21" s="9" t="str">
        <x:f>"Net ticket revenue after taxes, venue share, and approved show costs"</x:f>
        <x:v>Net ticket revenue after taxes, venue share, and approved show costs</x:v>
      </x:c>
      <x:c r="D21" s="8"/>
      <x:c r="E21" s="8"/>
      <x:c r="F21" s="8"/>
      <x:c r="G21" s="8"/>
      <x:c r="H21" s="8"/>
    </x:row>
    <x:row r="22">
      <x:c r="A22" s="9" t="str">
        <x:v>Estimated artist payout</x:v>
      </x:c>
      <x:c r="B22" s="8"/>
      <x:c r="C22" s="17" t="n">
        <x:f>'Event Net'!H9</x:f>
        <x:v>3477.6000000000004</x:v>
      </x:c>
      <x:c r="D22" s="8"/>
      <x:c r="E22" s="8"/>
      <x:c r="F22" s="8"/>
      <x:c r="G22" s="8"/>
      <x:c r="H22" s="8"/>
    </x:row>
    <x:row r="23">
      <x:c r="A23" s="9" t="str">
        <x:v>Payment schedule</x:v>
      </x:c>
      <x:c r="B23" s="8"/>
      <x:c r="C23" s="14" t="str">
        <x:f>"50% on signing; balance after settlement"</x:f>
        <x:v>50% on signing; balance after settlement</x:v>
      </x:c>
      <x:c r="D23" s="8"/>
      <x:c r="E23" s="8"/>
      <x:c r="F23" s="8"/>
      <x:c r="G23" s="8"/>
      <x:c r="H23" s="8"/>
    </x:row>
    <x:row r="24">
      <x:c r="A24" s="8"/>
      <x:c r="B24" s="8"/>
      <x:c r="C24" s="8"/>
      <x:c r="D24" s="8"/>
      <x:c r="E24" s="8"/>
      <x:c r="F24" s="8"/>
      <x:c r="G24" s="8"/>
      <x:c r="H24" s="8"/>
    </x:row>
    <x:row r="25">
      <x:c r="A25" s="8"/>
      <x:c r="B25" s="8"/>
      <x:c r="C25" s="8"/>
      <x:c r="D25" s="8"/>
      <x:c r="E25" s="8"/>
      <x:c r="F25" s="8"/>
      <x:c r="G25" s="8"/>
      <x:c r="H25" s="8"/>
    </x:row>
    <x:row r="26" ht="25" customHeight="1">
      <x:c r="A26" s="13" t="str">
        <x:v>CURRENT PROJECTION</x:v>
      </x:c>
      <x:c r="B26" s="8"/>
      <x:c r="C26" s="8"/>
      <x:c r="D26" s="8"/>
      <x:c r="E26" s="8"/>
      <x:c r="F26" s="8"/>
      <x:c r="G26" s="8"/>
      <x:c r="H26" s="8"/>
    </x:row>
    <x:row r="27">
      <x:c r="A27" s="8"/>
      <x:c r="B27" s="8"/>
      <x:c r="C27" s="8"/>
      <x:c r="D27" s="8"/>
      <x:c r="E27" s="8"/>
      <x:c r="F27" s="8"/>
      <x:c r="G27" s="8"/>
      <x:c r="H27" s="8"/>
    </x:row>
    <x:row r="28">
      <x:c r="A28" s="21" t="str">
        <x:v>Gross ticket sales</x:v>
      </x:c>
      <x:c r="B28" s="23" t="n">
        <x:f>'Event Net'!B14</x:f>
        <x:v>11575</x:v>
      </x:c>
      <x:c r="C28" s="8"/>
      <x:c r="D28" s="21" t="str">
        <x:v>Total show revenue</x:v>
      </x:c>
      <x:c r="E28" s="23" t="n">
        <x:f>'Event Net'!E14</x:f>
        <x:v>13075</x:v>
      </x:c>
      <x:c r="F28" s="8"/>
      <x:c r="G28" s="21" t="str">
        <x:v>Projected promoter net</x:v>
      </x:c>
      <x:c r="H28" s="23" t="n">
        <x:f>'Event Net'!H14</x:f>
        <x:v>5147.4</x:v>
      </x:c>
    </x:row>
    <x:row r="29">
      <x:c r="A29" s="8"/>
      <x:c r="B29" s="8"/>
      <x:c r="C29" s="8"/>
      <x:c r="D29" s="8"/>
      <x:c r="E29" s="8"/>
      <x:c r="F29" s="8"/>
      <x:c r="G29" s="8"/>
      <x:c r="H29" s="8"/>
    </x:row>
    <x:row r="30">
      <x:c r="A30" s="8"/>
      <x:c r="B30" s="8"/>
      <x:c r="C30" s="8"/>
      <x:c r="D30" s="8"/>
      <x:c r="E30" s="8"/>
      <x:c r="F30" s="8"/>
      <x:c r="G30" s="8"/>
      <x:c r="H30" s="8"/>
    </x:row>
    <x:row r="31" ht="42" customHeight="1">
      <x:c r="A31" s="26" t="str">
        <x:v>This offer is subject to contract, final ticket counts, documented expenses, taxes, and the settlement terms agreed by both parties. Replace all sample information before sharing.</x:v>
      </x:c>
      <x:c r="B31" s="8"/>
      <x:c r="C31" s="8"/>
      <x:c r="D31" s="8"/>
      <x:c r="E31" s="8"/>
      <x:c r="F31" s="8"/>
      <x:c r="G31" s="8"/>
      <x:c r="H31" s="8"/>
    </x:row>
    <x:row r="32">
      <x:c r="A32" s="8"/>
      <x:c r="B32" s="8"/>
      <x:c r="C32" s="8"/>
      <x:c r="D32" s="8"/>
      <x:c r="E32" s="8"/>
      <x:c r="F32" s="8"/>
      <x:c r="G32" s="8"/>
      <x:c r="H32" s="8"/>
    </x:row>
    <x:row r="33">
      <x:c r="A33" s="8"/>
      <x:c r="B33" s="8"/>
      <x:c r="C33" s="8"/>
      <x:c r="D33" s="8"/>
      <x:c r="E33" s="8"/>
      <x:c r="F33" s="8"/>
      <x:c r="G33" s="8"/>
      <x:c r="H33" s="8"/>
    </x:row>
    <x:row r="34">
      <x:c r="A34" s="8"/>
      <x:c r="B34" s="8"/>
      <x:c r="C34" s="8"/>
      <x:c r="D34" s="8"/>
      <x:c r="E34" s="8"/>
      <x:c r="F34" s="8"/>
      <x:c r="G34" s="8"/>
      <x:c r="H34" s="8"/>
    </x:row>
    <x:row r="35">
      <x:c r="A35" s="8"/>
      <x:c r="B35" s="8"/>
      <x:c r="C35" s="8"/>
      <x:c r="D35" s="8"/>
      <x:c r="E35" s="8"/>
      <x:c r="F35" s="8"/>
      <x:c r="G35" s="8"/>
      <x:c r="H35" s="8"/>
    </x:row>
    <x:row r="36">
      <x:c r="A36" s="9" t="str">
        <x:v>Offered by</x:v>
      </x:c>
      <x:c r="B36" s="8"/>
      <x:c r="C36" s="8" t="str">
        <x:f>'Event Net'!E6</x:f>
        <x:v>Example Producer</x:v>
      </x:c>
      <x:c r="D36" s="8"/>
      <x:c r="E36" s="8"/>
      <x:c r="F36" s="8"/>
      <x:c r="G36" s="8"/>
      <x:c r="H36" s="8"/>
    </x:row>
    <x:row r="37">
      <x:c r="A37" s="9" t="str">
        <x:v>Email</x:v>
      </x:c>
      <x:c r="B37" s="8"/>
      <x:c r="C37" s="8" t="str">
        <x:f>'Event Net'!E7</x:f>
        <x:v>producer@example.com</x:v>
      </x:c>
      <x:c r="D37" s="8"/>
      <x:c r="E37" s="8"/>
      <x:c r="F37" s="8"/>
      <x:c r="G37" s="8"/>
      <x:c r="H37" s="8"/>
    </x:row>
    <x:row r="38">
      <x:c r="A38" s="9" t="str">
        <x:v>Offer valid through</x:v>
      </x:c>
      <x:c r="B38" s="8"/>
      <x:c r="C38" s="28" t="n">
        <x:f>'Event Net'!E8</x:f>
        <x:v>46315.5</x:v>
      </x:c>
      <x:c r="D38" s="8"/>
      <x:c r="E38" s="8"/>
      <x:c r="F38" s="8"/>
      <x:c r="G38" s="8"/>
      <x:c r="H38" s="8"/>
    </x:row>
    <x:row r="39">
      <x:c r="A39" s="8"/>
      <x:c r="B39" s="8"/>
      <x:c r="C39" s="8"/>
      <x:c r="D39" s="8"/>
      <x:c r="E39" s="8"/>
      <x:c r="F39" s="8"/>
      <x:c r="G39" s="8"/>
      <x:c r="H39" s="8"/>
    </x:row>
    <x:row r="40">
      <x:c r="A40" s="8"/>
      <x:c r="B40" s="8"/>
      <x:c r="C40" s="8"/>
      <x:c r="D40" s="8"/>
      <x:c r="E40" s="8"/>
      <x:c r="F40" s="8"/>
      <x:c r="G40" s="8"/>
      <x:c r="H40" s="8"/>
    </x:row>
    <x:row r="41">
      <x:c r="A41" s="8"/>
      <x:c r="B41" s="8"/>
      <x:c r="C41" s="8"/>
      <x:c r="D41" s="8"/>
      <x:c r="E41" s="8"/>
      <x:c r="F41" s="8"/>
      <x:c r="G41" s="8"/>
      <x:c r="H41" s="8"/>
    </x:row>
    <x:row r="42">
      <x:c r="A42" s="8"/>
      <x:c r="B42" s="8"/>
      <x:c r="C42" s="8"/>
      <x:c r="D42" s="8"/>
      <x:c r="E42" s="8"/>
      <x:c r="F42" s="8"/>
      <x:c r="G42" s="8"/>
      <x:c r="H42" s="8"/>
    </x:row>
  </x:sheetData>
  <x:mergeCells>
    <x:mergeCell ref="A2:H2"/>
    <x:mergeCell ref="A3:H3"/>
    <x:mergeCell ref="A6:H6"/>
    <x:mergeCell ref="C8:F8"/>
    <x:mergeCell ref="C9:F9"/>
    <x:mergeCell ref="C10:F10"/>
    <x:mergeCell ref="C11:F11"/>
    <x:mergeCell ref="C12:F12"/>
    <x:mergeCell ref="C13:F13"/>
    <x:mergeCell ref="A16:H16"/>
    <x:mergeCell ref="C18:F18"/>
    <x:mergeCell ref="C19:F19"/>
    <x:mergeCell ref="C20:F20"/>
    <x:mergeCell ref="C21:F21"/>
    <x:mergeCell ref="C22:F22"/>
    <x:mergeCell ref="C23:F23"/>
    <x:mergeCell ref="A26:H26"/>
    <x:mergeCell ref="A31:H33"/>
    <x:mergeCell ref="C36:F36"/>
    <x:mergeCell ref="C37:F37"/>
    <x:mergeCell ref="C38:F38"/>
  </x:mergeCells>
  <x:pageMargins left="0.7" right="0.7" top="0.75" bottom="0.75" header="0.3" footer="0.3"/>
</x:worksheet>
</file>

<file path=xl/worksheets/sheet2.xml><?xml version="1.0" encoding="utf-8"?>
<x:worksheet xmlns:x="http://schemas.openxmlformats.org/spreadsheetml/2006/main">
  <x:sheetPr>
    <x:tabColor rgb="FFF5B942"/>
  </x:sheetPr>
  <x:sheetViews>
    <x:sheetView showGridLines="0" workbookViewId="0">
      <x:pane ySplit="17" topLeftCell="A18" activePane="bottomLeft" state="frozen"/>
    </x:sheetView>
  </x:sheetViews>
  <x:sheetFormatPr defaultRowHeight="15"/>
  <x:cols>
    <x:col min="1" max="1" width="21" hidden="0" customWidth="1"/>
    <x:col min="2" max="2" width="28" hidden="0" customWidth="1"/>
    <x:col min="3" max="3" width="15" hidden="0" customWidth="1"/>
    <x:col min="4" max="4" width="15" hidden="0" customWidth="1"/>
    <x:col min="5" max="5" width="18" hidden="0" customWidth="1"/>
    <x:col min="6" max="6" width="15" hidden="0" customWidth="1"/>
    <x:col min="7" max="7" width="18" hidden="0" customWidth="1"/>
    <x:col min="8" max="8" width="18" hidden="0" customWidth="1"/>
  </x:cols>
  <x:sheetData>
    <x:row r="1">
      <x:c r="A1" s="8"/>
      <x:c r="B1" s="8"/>
      <x:c r="C1" s="8"/>
      <x:c r="D1" s="8"/>
      <x:c r="E1" s="8"/>
      <x:c r="F1" s="8"/>
      <x:c r="G1" s="8"/>
      <x:c r="H1" s="8"/>
    </x:row>
    <x:row r="2" ht="27" customHeight="1">
      <x:c r="A2" s="9" t="str">
        <x:v>Event Net</x:v>
      </x:c>
      <x:c r="B2" s="8"/>
      <x:c r="C2" s="8"/>
      <x:c r="D2" s="8"/>
      <x:c r="E2" s="8"/>
      <x:c r="F2" s="8"/>
      <x:c r="G2" s="8"/>
      <x:c r="H2" s="8"/>
    </x:row>
    <x:row r="3" ht="20" customHeight="1">
      <x:c r="A3" s="10" t="str">
        <x:v>Model ticket income, deal terms, operating costs, artist payout, and promoter net.</x:v>
      </x:c>
      <x:c r="B3" s="8"/>
      <x:c r="C3" s="8"/>
      <x:c r="D3" s="8"/>
      <x:c r="E3" s="8"/>
      <x:c r="F3" s="8"/>
      <x:c r="G3" s="8"/>
      <x:c r="H3" s="8"/>
    </x:row>
    <x:row r="4">
      <x:c r="A4" s="11"/>
      <x:c r="B4" s="11"/>
      <x:c r="C4" s="11"/>
      <x:c r="D4" s="11"/>
      <x:c r="E4" s="11"/>
      <x:c r="F4" s="11"/>
      <x:c r="G4" s="11"/>
      <x:c r="H4" s="11"/>
    </x:row>
    <x:row r="5" ht="25" customHeight="1">
      <x:c r="A5" s="13" t="str">
        <x:v>EVENT INPUTS</x:v>
      </x:c>
      <x:c r="B5" s="8"/>
      <x:c r="C5" s="8"/>
      <x:c r="D5" s="8"/>
      <x:c r="E5" s="8"/>
      <x:c r="F5" s="8"/>
      <x:c r="G5" s="8"/>
      <x:c r="H5" s="8"/>
    </x:row>
    <x:row r="6">
      <x:c r="A6" s="8" t="str">
        <x:v>Artist</x:v>
      </x:c>
      <x:c r="B6" s="24" t="str">
        <x:v>Example Artist</x:v>
      </x:c>
      <x:c r="C6" s="8"/>
      <x:c r="D6" s="8" t="str">
        <x:v>Promoter / buyer</x:v>
      </x:c>
      <x:c r="E6" s="24" t="str">
        <x:v>Example Producer</x:v>
      </x:c>
      <x:c r="F6" s="8"/>
      <x:c r="G6" s="21" t="str">
        <x:v>Ticket taxes</x:v>
      </x:c>
      <x:c r="H6" s="23" t="n">
        <x:f>B14*E9</x:f>
        <x:v>578.75</x:v>
      </x:c>
    </x:row>
    <x:row r="7">
      <x:c r="A7" s="8" t="str">
        <x:v>Event</x:v>
      </x:c>
      <x:c r="B7" s="24" t="str">
        <x:v>Example Fall Show</x:v>
      </x:c>
      <x:c r="C7" s="8"/>
      <x:c r="D7" s="8" t="str">
        <x:v>Contact email</x:v>
      </x:c>
      <x:c r="E7" s="24" t="str">
        <x:v>producer@example.com</x:v>
      </x:c>
      <x:c r="F7" s="8"/>
      <x:c r="G7" s="21" t="str">
        <x:v>Venue share</x:v>
      </x:c>
      <x:c r="H7" s="23" t="n">
        <x:f>(B14-H6)*E10</x:f>
        <x:v>2199.25</x:v>
      </x:c>
    </x:row>
    <x:row r="8">
      <x:c r="A8" s="8" t="str">
        <x:v>Date</x:v>
      </x:c>
      <x:c r="B8" s="29" t="d">
        <x:v>2026-11-15T12:00:00.000Z</x:v>
      </x:c>
      <x:c r="C8" s="8"/>
      <x:c r="D8" s="8" t="str">
        <x:v>Offer valid through</x:v>
      </x:c>
      <x:c r="E8" s="29" t="d">
        <x:v>2026-10-20T12:00:00.000Z</x:v>
      </x:c>
      <x:c r="F8" s="8"/>
      <x:c r="G8" s="21" t="str">
        <x:v>Operating costs</x:v>
      </x:c>
      <x:c r="H8" s="23" t="n">
        <x:f>E41</x:f>
        <x:v>4450</x:v>
      </x:c>
    </x:row>
    <x:row r="9">
      <x:c r="A9" s="8" t="str">
        <x:v>Venue</x:v>
      </x:c>
      <x:c r="B9" s="24" t="str">
        <x:v>Main Hall</x:v>
      </x:c>
      <x:c r="C9" s="8"/>
      <x:c r="D9" s="8" t="str">
        <x:v>Tax rate</x:v>
      </x:c>
      <x:c r="E9" s="30" t="n">
        <x:v>0.05</x:v>
      </x:c>
      <x:c r="F9" s="8"/>
      <x:c r="G9" s="21" t="str">
        <x:v>Artist payout</x:v>
      </x:c>
      <x:c r="H9" s="23" t="n">
        <x:f>B29</x:f>
        <x:v>3477.6000000000004</x:v>
      </x:c>
    </x:row>
    <x:row r="10">
      <x:c r="A10" s="8" t="str">
        <x:v>City</x:v>
      </x:c>
      <x:c r="B10" s="24" t="str">
        <x:v>New York, NY</x:v>
      </x:c>
      <x:c r="C10" s="8"/>
      <x:c r="D10" s="8" t="str">
        <x:v>Venue share</x:v>
      </x:c>
      <x:c r="E10" s="30" t="n">
        <x:v>0.2</x:v>
      </x:c>
      <x:c r="F10" s="8"/>
      <x:c r="G10" s="8"/>
      <x:c r="H10" s="8"/>
    </x:row>
    <x:row r="11">
      <x:c r="A11" s="8" t="str">
        <x:v>Capacity</x:v>
      </x:c>
      <x:c r="B11" s="24" t="n">
        <x:v>450</x:v>
      </x:c>
      <x:c r="C11" s="8"/>
      <x:c r="D11" s="8" t="str">
        <x:v>Other revenue</x:v>
      </x:c>
      <x:c r="E11" s="31" t="n">
        <x:v>1500</x:v>
      </x:c>
      <x:c r="F11" s="8"/>
      <x:c r="G11" s="8"/>
      <x:c r="H11" s="8"/>
    </x:row>
    <x:row r="12">
      <x:c r="A12" s="8"/>
      <x:c r="B12" s="8"/>
      <x:c r="C12" s="8"/>
      <x:c r="D12" s="8"/>
      <x:c r="E12" s="8"/>
      <x:c r="F12" s="8"/>
      <x:c r="G12" s="8"/>
      <x:c r="H12" s="8"/>
    </x:row>
    <x:row r="13">
      <x:c r="A13" s="8"/>
      <x:c r="B13" s="8"/>
      <x:c r="C13" s="8"/>
      <x:c r="D13" s="8"/>
      <x:c r="E13" s="8"/>
      <x:c r="F13" s="8"/>
      <x:c r="G13" s="8"/>
      <x:c r="H13" s="8"/>
    </x:row>
    <x:row r="14">
      <x:c r="A14" s="21" t="str">
        <x:v>Gross ticket sales</x:v>
      </x:c>
      <x:c r="B14" s="23" t="n">
        <x:f>SUM(F18:F22)</x:f>
        <x:v>11575</x:v>
      </x:c>
      <x:c r="C14" s="8"/>
      <x:c r="D14" s="21" t="str">
        <x:v>Total show revenue</x:v>
      </x:c>
      <x:c r="E14" s="23" t="n">
        <x:f>B14+E11</x:f>
        <x:v>13075</x:v>
      </x:c>
      <x:c r="F14" s="8"/>
      <x:c r="G14" s="21" t="str">
        <x:v>Promoter net</x:v>
      </x:c>
      <x:c r="H14" s="23" t="n">
        <x:f>E14-H9-E29-E41</x:f>
        <x:v>5147.4</x:v>
      </x:c>
    </x:row>
    <x:row r="15">
      <x:c r="A15" s="8"/>
      <x:c r="B15" s="8"/>
      <x:c r="C15" s="8"/>
      <x:c r="D15" s="8"/>
      <x:c r="E15" s="8"/>
      <x:c r="F15" s="8"/>
      <x:c r="G15" s="8"/>
      <x:c r="H15" s="8"/>
    </x:row>
    <x:row r="16">
      <x:c r="A16" s="8"/>
      <x:c r="B16" s="8"/>
      <x:c r="C16" s="8"/>
      <x:c r="D16" s="8"/>
      <x:c r="E16" s="8"/>
      <x:c r="F16" s="8"/>
      <x:c r="G16" s="8"/>
      <x:c r="H16" s="8"/>
    </x:row>
    <x:row r="17" ht="27" customHeight="1">
      <x:c r="A17" s="35" t="str">
        <x:v>Ticket tier</x:v>
      </x:c>
      <x:c r="B17" s="36" t="str">
        <x:v>Price</x:v>
      </x:c>
      <x:c r="C17" s="36" t="str">
        <x:v>Inventory</x:v>
      </x:c>
      <x:c r="D17" s="36" t="str">
        <x:v>Comps</x:v>
      </x:c>
      <x:c r="E17" s="36" t="str">
        <x:v>Sales forecast</x:v>
      </x:c>
      <x:c r="F17" s="37" t="str">
        <x:v>Gross sales</x:v>
      </x:c>
      <x:c r="G17" s="8"/>
      <x:c r="H17" s="8"/>
    </x:row>
    <x:row r="18">
      <x:c r="A18" s="24" t="str">
        <x:v>General admission</x:v>
      </x:c>
      <x:c r="B18" s="31" t="n">
        <x:v>25</x:v>
      </x:c>
      <x:c r="C18" s="38" t="n">
        <x:v>250</x:v>
      </x:c>
      <x:c r="D18" s="38" t="n">
        <x:v>15</x:v>
      </x:c>
      <x:c r="E18" s="38" t="n">
        <x:v>200</x:v>
      </x:c>
      <x:c r="F18" s="39" t="n">
        <x:f>IF(OR(B18="",E18=""),"",B18*E18)</x:f>
        <x:v>5000</x:v>
      </x:c>
      <x:c r="G18" s="8"/>
      <x:c r="H18" s="8"/>
    </x:row>
    <x:row r="19">
      <x:c r="A19" s="24" t="str">
        <x:v>Preferred</x:v>
      </x:c>
      <x:c r="B19" s="31" t="n">
        <x:v>40</x:v>
      </x:c>
      <x:c r="C19" s="38" t="n">
        <x:v>125</x:v>
      </x:c>
      <x:c r="D19" s="38" t="n">
        <x:v>5</x:v>
      </x:c>
      <x:c r="E19" s="38" t="n">
        <x:v>100</x:v>
      </x:c>
      <x:c r="F19" s="39" t="n">
        <x:f>IF(OR(B19="",E19=""),"",B19*E19)</x:f>
        <x:v>4000</x:v>
      </x:c>
      <x:c r="G19" s="8"/>
      <x:c r="H19" s="8"/>
    </x:row>
    <x:row r="20">
      <x:c r="A20" s="24" t="str">
        <x:v>VIP</x:v>
      </x:c>
      <x:c r="B20" s="31" t="n">
        <x:v>65</x:v>
      </x:c>
      <x:c r="C20" s="38" t="n">
        <x:v>50</x:v>
      </x:c>
      <x:c r="D20" s="38" t="n">
        <x:v>0</x:v>
      </x:c>
      <x:c r="E20" s="38" t="n">
        <x:v>35</x:v>
      </x:c>
      <x:c r="F20" s="39" t="n">
        <x:f>IF(OR(B20="",E20=""),"",B20*E20)</x:f>
        <x:v>2275</x:v>
      </x:c>
      <x:c r="G20" s="8"/>
      <x:c r="H20" s="8"/>
    </x:row>
    <x:row r="21">
      <x:c r="A21" s="24" t="str">
        <x:v>Door</x:v>
      </x:c>
      <x:c r="B21" s="31" t="n">
        <x:v>30</x:v>
      </x:c>
      <x:c r="C21" s="38" t="n">
        <x:v>25</x:v>
      </x:c>
      <x:c r="D21" s="38" t="n">
        <x:v>0</x:v>
      </x:c>
      <x:c r="E21" s="38" t="n">
        <x:v>10</x:v>
      </x:c>
      <x:c r="F21" s="39" t="n">
        <x:f>IF(OR(B21="",E21=""),"",B21*E21)</x:f>
        <x:v>300</x:v>
      </x:c>
      <x:c r="G21" s="8"/>
      <x:c r="H21" s="8"/>
    </x:row>
    <x:row r="22">
      <x:c r="A22" s="24" t="str">
        <x:v>Other</x:v>
      </x:c>
      <x:c r="B22" s="31" t="n">
        <x:v>0</x:v>
      </x:c>
      <x:c r="C22" s="38" t="n">
        <x:v>0</x:v>
      </x:c>
      <x:c r="D22" s="38" t="n">
        <x:v>0</x:v>
      </x:c>
      <x:c r="E22" s="38" t="n">
        <x:v>0</x:v>
      </x:c>
      <x:c r="F22" s="39" t="str">
        <x:f>IF(OR(B22="",E22=""),"",B22*E22)</x:f>
      </x:c>
      <x:c r="G22" s="8"/>
      <x:c r="H22" s="8"/>
    </x:row>
    <x:row r="23">
      <x:c r="A23" s="8"/>
      <x:c r="B23" s="8"/>
      <x:c r="C23" s="8"/>
      <x:c r="D23" s="8"/>
      <x:c r="E23" s="8"/>
      <x:c r="F23" s="8"/>
      <x:c r="G23" s="8"/>
      <x:c r="H23" s="8"/>
    </x:row>
    <x:row r="24" ht="25" customHeight="1">
      <x:c r="A24" s="13" t="str">
        <x:v>ARTIST DEAL</x:v>
      </x:c>
      <x:c r="B24" s="8"/>
      <x:c r="C24" s="8"/>
      <x:c r="D24" s="8"/>
      <x:c r="E24" s="8"/>
      <x:c r="F24" s="8"/>
      <x:c r="G24" s="8"/>
      <x:c r="H24" s="8"/>
    </x:row>
    <x:row r="25">
      <x:c r="A25" s="8" t="str">
        <x:v>Deal type</x:v>
      </x:c>
      <x:c r="B25" s="24" t="str">
        <x:v>Versus</x:v>
      </x:c>
      <x:c r="C25" s="8"/>
      <x:c r="D25" s="8"/>
      <x:c r="E25" s="8"/>
      <x:c r="F25" s="8"/>
      <x:c r="G25" s="8"/>
      <x:c r="H25" s="8"/>
    </x:row>
    <x:row r="26">
      <x:c r="A26" s="8" t="str">
        <x:v>Guarantee</x:v>
      </x:c>
      <x:c r="B26" s="31" t="n">
        <x:v>1800</x:v>
      </x:c>
      <x:c r="C26" s="8"/>
      <x:c r="D26" s="8"/>
      <x:c r="E26" s="8"/>
      <x:c r="F26" s="8"/>
      <x:c r="G26" s="8"/>
      <x:c r="H26" s="8"/>
    </x:row>
    <x:row r="27">
      <x:c r="A27" s="8" t="str">
        <x:v>Artist share</x:v>
      </x:c>
      <x:c r="B27" s="30" t="n">
        <x:v>0.8</x:v>
      </x:c>
      <x:c r="C27" s="8"/>
      <x:c r="D27" s="8"/>
      <x:c r="E27" s="8"/>
      <x:c r="F27" s="8"/>
      <x:c r="G27" s="8"/>
      <x:c r="H27" s="8"/>
    </x:row>
    <x:row r="28">
      <x:c r="A28" s="8" t="str">
        <x:v>Backend basis</x:v>
      </x:c>
      <x:c r="B28" s="41" t="n">
        <x:f>MAX(0,B14-(B14*E9)-(B14*(1-E9)*E10)-E41)</x:f>
        <x:v>4347</x:v>
      </x:c>
      <x:c r="C28" s="8"/>
      <x:c r="D28" s="8"/>
      <x:c r="E28" s="8"/>
      <x:c r="F28" s="8"/>
      <x:c r="G28" s="8"/>
      <x:c r="H28" s="8"/>
    </x:row>
    <x:row r="29">
      <x:c r="A29" s="8" t="str">
        <x:v>Artist payout</x:v>
      </x:c>
      <x:c r="B29" s="41" t="n">
        <x:f>IF(B25="Versus",MAX(B26,B28*B27),B26)</x:f>
        <x:v>3477.6000000000004</x:v>
      </x:c>
      <x:c r="C29" s="8"/>
      <x:c r="D29" s="8"/>
      <x:c r="E29" s="8"/>
      <x:c r="F29" s="8"/>
      <x:c r="G29" s="8"/>
      <x:c r="H29" s="8"/>
    </x:row>
    <x:row r="30">
      <x:c r="A30" s="8"/>
      <x:c r="B30" s="8"/>
      <x:c r="C30" s="8"/>
      <x:c r="D30" s="8"/>
      <x:c r="E30" s="8"/>
      <x:c r="F30" s="8"/>
      <x:c r="G30" s="8"/>
      <x:c r="H30" s="8"/>
    </x:row>
    <x:row r="31">
      <x:c r="A31" s="8"/>
      <x:c r="B31" s="8"/>
      <x:c r="C31" s="8"/>
      <x:c r="D31" s="8"/>
      <x:c r="E31" s="8"/>
      <x:c r="F31" s="8"/>
      <x:c r="G31" s="8"/>
      <x:c r="H31" s="8"/>
    </x:row>
    <x:row r="32" ht="27" customHeight="1">
      <x:c r="A32" s="35" t="str">
        <x:v>Cost category</x:v>
      </x:c>
      <x:c r="B32" s="36" t="str">
        <x:v>Vendor / detail</x:v>
      </x:c>
      <x:c r="C32" s="36" t="str">
        <x:v>Budget</x:v>
      </x:c>
      <x:c r="D32" s="36" t="str">
        <x:v>Actual</x:v>
      </x:c>
      <x:c r="E32" s="37" t="str">
        <x:v>Use in projection</x:v>
      </x:c>
      <x:c r="F32" s="8"/>
      <x:c r="G32" s="8"/>
      <x:c r="H32" s="8"/>
    </x:row>
    <x:row r="33">
      <x:c r="A33" s="24" t="str">
        <x:v>Venue</x:v>
      </x:c>
      <x:c r="B33" s="24" t="str">
        <x:v>Room rental and house staff</x:v>
      </x:c>
      <x:c r="C33" s="31" t="n">
        <x:v>1200</x:v>
      </x:c>
      <x:c r="D33" s="31"/>
      <x:c r="E33" s="42" t="n">
        <x:f>IF(D33="",C33,D33)</x:f>
        <x:v>1200</x:v>
      </x:c>
      <x:c r="F33" s="8"/>
      <x:c r="G33" s="8"/>
      <x:c r="H33" s="8"/>
    </x:row>
    <x:row r="34">
      <x:c r="A34" s="24" t="str">
        <x:v>Production</x:v>
      </x:c>
      <x:c r="B34" s="24" t="str">
        <x:v>Audio and lighting</x:v>
      </x:c>
      <x:c r="C34" s="31" t="n">
        <x:v>950</x:v>
      </x:c>
      <x:c r="D34" s="31"/>
      <x:c r="E34" s="42" t="n">
        <x:f>IF(D34="",C34,D34)</x:f>
        <x:v>950</x:v>
      </x:c>
      <x:c r="F34" s="8"/>
      <x:c r="G34" s="8"/>
      <x:c r="H34" s="8"/>
    </x:row>
    <x:row r="35">
      <x:c r="A35" s="24" t="str">
        <x:v>Labor</x:v>
      </x:c>
      <x:c r="B35" s="24" t="str">
        <x:v>Crew and security</x:v>
      </x:c>
      <x:c r="C35" s="31" t="n">
        <x:v>700</x:v>
      </x:c>
      <x:c r="D35" s="31"/>
      <x:c r="E35" s="42" t="n">
        <x:f>IF(D35="",C35,D35)</x:f>
        <x:v>700</x:v>
      </x:c>
      <x:c r="F35" s="8"/>
      <x:c r="G35" s="8"/>
      <x:c r="H35" s="8"/>
    </x:row>
    <x:row r="36">
      <x:c r="A36" s="24" t="str">
        <x:v>Marketing</x:v>
      </x:c>
      <x:c r="B36" s="24" t="str">
        <x:v>Creative and media</x:v>
      </x:c>
      <x:c r="C36" s="31" t="n">
        <x:v>350</x:v>
      </x:c>
      <x:c r="D36" s="31"/>
      <x:c r="E36" s="42" t="n">
        <x:f>IF(D36="",C36,D36)</x:f>
        <x:v>350</x:v>
      </x:c>
      <x:c r="F36" s="8"/>
      <x:c r="G36" s="8"/>
      <x:c r="H36" s="8"/>
    </x:row>
    <x:row r="37">
      <x:c r="A37" s="24" t="str">
        <x:v>Ticketing</x:v>
      </x:c>
      <x:c r="B37" s="24" t="str">
        <x:v>Platform and card fees</x:v>
      </x:c>
      <x:c r="C37" s="31" t="n">
        <x:v>500</x:v>
      </x:c>
      <x:c r="D37" s="31"/>
      <x:c r="E37" s="42" t="n">
        <x:f>IF(D37="",C37,D37)</x:f>
        <x:v>500</x:v>
      </x:c>
      <x:c r="F37" s="8"/>
      <x:c r="G37" s="8"/>
      <x:c r="H37" s="8"/>
    </x:row>
    <x:row r="38">
      <x:c r="A38" s="24" t="str">
        <x:v>Hospitality</x:v>
      </x:c>
      <x:c r="B38" s="24" t="str">
        <x:v>Artist hospitality</x:v>
      </x:c>
      <x:c r="C38" s="31" t="n">
        <x:v>250</x:v>
      </x:c>
      <x:c r="D38" s="31"/>
      <x:c r="E38" s="42" t="n">
        <x:f>IF(D38="",C38,D38)</x:f>
        <x:v>250</x:v>
      </x:c>
      <x:c r="F38" s="8"/>
      <x:c r="G38" s="8"/>
      <x:c r="H38" s="8"/>
    </x:row>
    <x:row r="39">
      <x:c r="A39" s="24" t="str">
        <x:v>Insurance</x:v>
      </x:c>
      <x:c r="B39" s="24" t="str">
        <x:v>Event coverage</x:v>
      </x:c>
      <x:c r="C39" s="31" t="n">
        <x:v>200</x:v>
      </x:c>
      <x:c r="D39" s="31"/>
      <x:c r="E39" s="42" t="n">
        <x:f>IF(D39="",C39,D39)</x:f>
        <x:v>200</x:v>
      </x:c>
      <x:c r="F39" s="8"/>
      <x:c r="G39" s="8"/>
      <x:c r="H39" s="8"/>
    </x:row>
    <x:row r="40">
      <x:c r="A40" s="24" t="str">
        <x:v>Other</x:v>
      </x:c>
      <x:c r="B40" s="24" t="str">
        <x:v>Contingency</x:v>
      </x:c>
      <x:c r="C40" s="31" t="n">
        <x:v>300</x:v>
      </x:c>
      <x:c r="D40" s="31"/>
      <x:c r="E40" s="42" t="n">
        <x:f>IF(D40="",C40,D40)</x:f>
        <x:v>300</x:v>
      </x:c>
      <x:c r="F40" s="8"/>
      <x:c r="G40" s="8"/>
      <x:c r="H40" s="8"/>
    </x:row>
    <x:row r="41">
      <x:c r="A41" s="43" t="str">
        <x:v>Total operating costs</x:v>
      </x:c>
      <x:c r="B41" s="43"/>
      <x:c r="C41" s="43"/>
      <x:c r="D41" s="43"/>
      <x:c r="E41" s="44" t="n">
        <x:f>SUM(E33:E40)</x:f>
        <x:v>4450</x:v>
      </x:c>
      <x:c r="F41" s="8"/>
      <x:c r="G41" s="8"/>
      <x:c r="H41" s="8"/>
    </x:row>
    <x:row r="42">
      <x:c r="A42" s="8"/>
      <x:c r="B42" s="8"/>
      <x:c r="C42" s="8"/>
      <x:c r="D42" s="8"/>
      <x:c r="E42" s="8"/>
      <x:c r="F42" s="8"/>
      <x:c r="G42" s="8"/>
      <x:c r="H42" s="8"/>
    </x:row>
    <x:row r="43">
      <x:c r="A43" s="8"/>
      <x:c r="B43" s="8"/>
      <x:c r="C43" s="8"/>
      <x:c r="D43" s="8"/>
      <x:c r="E43" s="8"/>
      <x:c r="F43" s="8"/>
      <x:c r="G43" s="8"/>
      <x:c r="H43" s="8"/>
    </x:row>
    <x:row r="44" ht="25" customHeight="1">
      <x:c r="A44" s="13" t="str">
        <x:v>SETTLEMENT</x:v>
      </x:c>
      <x:c r="B44" s="8"/>
      <x:c r="C44" s="8"/>
      <x:c r="D44" s="8"/>
      <x:c r="E44" s="8"/>
      <x:c r="F44" s="8"/>
      <x:c r="G44" s="8"/>
      <x:c r="H44" s="8"/>
    </x:row>
    <x:row r="45">
      <x:c r="A45" s="8"/>
      <x:c r="B45" s="8"/>
      <x:c r="C45" s="8"/>
      <x:c r="D45" s="8"/>
      <x:c r="E45" s="8"/>
      <x:c r="F45" s="8"/>
      <x:c r="G45" s="8"/>
      <x:c r="H45" s="8"/>
    </x:row>
    <x:row r="46" ht="27" customHeight="1">
      <x:c r="A46" s="35" t="str">
        <x:v>Line</x:v>
      </x:c>
      <x:c r="B46" s="36" t="str">
        <x:v>Projected</x:v>
      </x:c>
      <x:c r="C46" s="36" t="str">
        <x:v>Actual</x:v>
      </x:c>
      <x:c r="D46" s="36" t="str">
        <x:v>Variance</x:v>
      </x:c>
      <x:c r="E46" s="37" t="str">
        <x:v>Notes</x:v>
      </x:c>
      <x:c r="F46" s="8"/>
      <x:c r="G46" s="8"/>
      <x:c r="H46" s="8"/>
    </x:row>
    <x:row r="47">
      <x:c r="A47" s="8" t="str">
        <x:v>Gross ticket sales</x:v>
      </x:c>
      <x:c r="B47" s="40" t="n">
        <x:f>B14</x:f>
        <x:v>11575</x:v>
      </x:c>
      <x:c r="C47" s="45"/>
      <x:c r="D47" s="40" t="str">
        <x:f>IF(C47="","",C47-B47)</x:f>
      </x:c>
      <x:c r="E47" s="24"/>
      <x:c r="F47" s="8"/>
      <x:c r="G47" s="8"/>
      <x:c r="H47" s="8"/>
    </x:row>
    <x:row r="48">
      <x:c r="A48" s="8" t="str">
        <x:v>Other revenue</x:v>
      </x:c>
      <x:c r="B48" s="40" t="n">
        <x:f>E11</x:f>
        <x:v>1500</x:v>
      </x:c>
      <x:c r="C48" s="45"/>
      <x:c r="D48" s="40" t="str">
        <x:f>IF(C48="","",C48-B48)</x:f>
      </x:c>
      <x:c r="E48" s="24"/>
      <x:c r="F48" s="8"/>
      <x:c r="G48" s="8"/>
      <x:c r="H48" s="8"/>
    </x:row>
    <x:row r="49">
      <x:c r="A49" s="8" t="str">
        <x:v>Ticket taxes</x:v>
      </x:c>
      <x:c r="B49" s="40" t="n">
        <x:f>H6</x:f>
        <x:v>578.75</x:v>
      </x:c>
      <x:c r="C49" s="45"/>
      <x:c r="D49" s="40" t="str">
        <x:f>IF(C49="","",C49-B49)</x:f>
      </x:c>
      <x:c r="E49" s="24"/>
      <x:c r="F49" s="8"/>
      <x:c r="G49" s="8"/>
      <x:c r="H49" s="8"/>
    </x:row>
    <x:row r="50">
      <x:c r="A50" s="8" t="str">
        <x:v>Venue share</x:v>
      </x:c>
      <x:c r="B50" s="40" t="n">
        <x:f>H7</x:f>
        <x:v>2199.25</x:v>
      </x:c>
      <x:c r="C50" s="45"/>
      <x:c r="D50" s="40" t="str">
        <x:f>IF(C50="","",C50-B50)</x:f>
      </x:c>
      <x:c r="E50" s="24"/>
      <x:c r="F50" s="8"/>
      <x:c r="G50" s="8"/>
      <x:c r="H50" s="8"/>
    </x:row>
    <x:row r="51">
      <x:c r="A51" s="8" t="str">
        <x:v>Operating costs</x:v>
      </x:c>
      <x:c r="B51" s="40" t="n">
        <x:f>H8</x:f>
        <x:v>4450</x:v>
      </x:c>
      <x:c r="C51" s="45"/>
      <x:c r="D51" s="40" t="str">
        <x:f>IF(C51="","",C51-B51)</x:f>
      </x:c>
      <x:c r="E51" s="24"/>
      <x:c r="F51" s="8"/>
      <x:c r="G51" s="8"/>
      <x:c r="H51" s="8"/>
    </x:row>
    <x:row r="52">
      <x:c r="A52" s="8" t="str">
        <x:v>Artist payout</x:v>
      </x:c>
      <x:c r="B52" s="40" t="n">
        <x:f>H9</x:f>
        <x:v>3477.6000000000004</x:v>
      </x:c>
      <x:c r="C52" s="45"/>
      <x:c r="D52" s="40" t="str">
        <x:f>IF(C52="","",C52-B52)</x:f>
      </x:c>
      <x:c r="E52" s="24"/>
      <x:c r="F52" s="8"/>
      <x:c r="G52" s="8"/>
      <x:c r="H52" s="8"/>
    </x:row>
    <x:row r="53">
      <x:c r="A53" s="48" t="str">
        <x:v>Promoter net</x:v>
      </x:c>
      <x:c r="B53" s="49" t="n">
        <x:f>H14</x:f>
        <x:v>5147.4</x:v>
      </x:c>
      <x:c r="C53" s="49" t="str">
        <x:f>IF(COUNTA(C47:C52)&lt;6,"n.a.",C47+C48-C49-C50-C51-C52)</x:f>
        <x:v>n.a.</x:v>
      </x:c>
      <x:c r="D53" s="49" t="str">
        <x:f>IF(C53="n.a.","",C53-B53)</x:f>
      </x:c>
      <x:c r="E53" s="50"/>
      <x:c r="F53" s="8"/>
      <x:c r="G53" s="8"/>
      <x:c r="H53" s="8"/>
    </x:row>
    <x:row r="54">
      <x:c r="A54" s="8"/>
      <x:c r="B54" s="8"/>
      <x:c r="C54" s="8"/>
      <x:c r="D54" s="8"/>
      <x:c r="E54" s="8"/>
      <x:c r="F54" s="8"/>
      <x:c r="G54" s="8"/>
      <x:c r="H54" s="8"/>
    </x:row>
    <x:row r="55">
      <x:c r="A55" s="8"/>
      <x:c r="B55" s="8"/>
      <x:c r="C55" s="8"/>
      <x:c r="D55" s="8"/>
      <x:c r="E55" s="8"/>
      <x:c r="F55" s="8"/>
      <x:c r="G55" s="8"/>
      <x:c r="H55" s="8"/>
    </x:row>
    <x:row r="56" ht="44" customHeight="1">
      <x:c r="A56" s="26" t="str">
        <x:v>Quick start: replace the sample event information, ticket tiers, deal terms, and costs. Yellow cells are inputs. The Offer tab updates automatically. At settlement, enter all six actual amounts before relying on actual promoter net.</x:v>
      </x:c>
      <x:c r="B56" s="8"/>
      <x:c r="C56" s="8"/>
      <x:c r="D56" s="8"/>
      <x:c r="E56" s="8"/>
      <x:c r="F56" s="8"/>
      <x:c r="G56" s="8"/>
      <x:c r="H56" s="8"/>
    </x:row>
    <x:row r="57">
      <x:c r="A57" s="8"/>
      <x:c r="B57" s="8"/>
      <x:c r="C57" s="8"/>
      <x:c r="D57" s="8"/>
      <x:c r="E57" s="8"/>
      <x:c r="F57" s="8"/>
      <x:c r="G57" s="8"/>
      <x:c r="H57" s="8"/>
    </x:row>
    <x:row r="58">
      <x:c r="A58" s="8"/>
      <x:c r="B58" s="8"/>
      <x:c r="C58" s="8"/>
      <x:c r="D58" s="8"/>
      <x:c r="E58" s="8"/>
      <x:c r="F58" s="8"/>
      <x:c r="G58" s="8"/>
      <x:c r="H58" s="8"/>
    </x:row>
    <x:row r="59">
      <x:c r="A59" s="8"/>
      <x:c r="B59" s="8"/>
      <x:c r="C59" s="8"/>
      <x:c r="D59" s="8"/>
      <x:c r="E59" s="8"/>
      <x:c r="F59" s="8"/>
      <x:c r="G59" s="8"/>
      <x:c r="H59" s="8"/>
    </x:row>
    <x:row r="60">
      <x:c r="A60" s="8"/>
      <x:c r="B60" s="8"/>
      <x:c r="C60" s="8"/>
      <x:c r="D60" s="8"/>
      <x:c r="E60" s="8"/>
      <x:c r="F60" s="8"/>
      <x:c r="G60" s="8"/>
      <x:c r="H60" s="8"/>
    </x:row>
    <x:row r="61">
      <x:c r="A61" s="8"/>
      <x:c r="B61" s="8"/>
      <x:c r="C61" s="8"/>
      <x:c r="D61" s="8"/>
      <x:c r="E61" s="8"/>
      <x:c r="F61" s="8"/>
      <x:c r="G61" s="8"/>
      <x:c r="H61" s="8"/>
    </x:row>
    <x:row r="62">
      <x:c r="A62" s="8"/>
      <x:c r="B62" s="8"/>
      <x:c r="C62" s="8"/>
      <x:c r="D62" s="8"/>
      <x:c r="E62" s="8"/>
      <x:c r="F62" s="8"/>
      <x:c r="G62" s="8"/>
      <x:c r="H62" s="8"/>
    </x:row>
  </x:sheetData>
  <x:mergeCells>
    <x:mergeCell ref="A2:H2"/>
    <x:mergeCell ref="A3:H3"/>
    <x:mergeCell ref="A5:H5"/>
    <x:mergeCell ref="A24:H24"/>
    <x:mergeCell ref="A41:D41"/>
    <x:mergeCell ref="A44:H44"/>
    <x:mergeCell ref="A56:H58"/>
  </x:mergeCells>
  <x:conditionalFormatting sqref="H14:H14">
    <x:cfRule type="cellIs" dxfId="0" priority="1" operator="lessThan">
      <x:formula>0</x:formula>
    </x:cfRule>
    <x:cfRule type="cellIs" dxfId="1" priority="2" operator="greaterThanOrEqual">
      <x:formula>0</x:formula>
    </x:cfRule>
  </x:conditionalFormatting>
  <x:dataValidations count="2">
    <x:dataValidation type="whole" operator="between" sqref="E18:E22">
      <x:formula1>0</x:formula1>
      <x:formula2>100000</x:formula2>
    </x:dataValidation>
    <x:dataValidation type="list" sqref="B25">
      <x:formula1>"Guarantee,Versus"</x:formula1>
    </x:dataValidation>
  </x:dataValidations>
  <x:pageMargins left="0.7" right="0.7" top="0.75" bottom="0.75" header="0.3" footer="0.3"/>
</x:worksheet>
</file>
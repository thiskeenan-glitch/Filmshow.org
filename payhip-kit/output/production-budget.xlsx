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11dee811d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 Budget" sheetId="1" r:id="R3dc89b026df5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mm/dd/yy"/>
  </x:numFmts>
  <x:fonts count="7">
    <x:font>
      <x:sz val="11"/>
      <x:name val="Carlito"/>
    </x:font>
    <x:font>
      <x:b/>
      <x:sz val="16"/>
      <x:color rgb="FF2D2438"/>
      <x:name val="Arial"/>
    </x:font>
    <x:font>
      <x:i/>
      <x:sz val="10"/>
      <x:color rgb="FF655B70"/>
      <x:name val="Arial"/>
    </x:font>
    <x:font>
      <x:sz val="10"/>
      <x:color rgb="FF2D2438"/>
      <x:name val="Arial"/>
    </x:font>
    <x:font>
      <x:b/>
      <x:sz val="10"/>
      <x:color rgb="FF2D2438"/>
      <x:name val="Arial"/>
    </x:font>
    <x:font>
      <x:i/>
      <x:sz val="10"/>
      <x:color rgb="FF2D243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7F3EC"/>
      </x:patternFill>
    </x:fill>
    <x:fill>
      <x:patternFill patternType="solid">
        <x:fgColor rgb="FF2D2438"/>
      </x:patternFill>
    </x:fill>
    <x:fill>
      <x:patternFill patternType="solid">
        <x:fgColor rgb="FFFFF8E7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medium">
        <x:color rgb="FFF5B942"/>
      </x:bottom>
      <x:diagonal/>
    </x:border>
    <x:border>
      <x:left style="thin">
        <x:color rgb="FFD9D0C4"/>
      </x:left>
      <x:right/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D9D0C4"/>
      </x:right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/>
      <x:top/>
      <x:bottom style="medium">
        <x:color rgb="FFF5B942"/>
      </x:bottom>
      <x:diagonal/>
    </x:border>
    <x:border>
      <x:left/>
      <x:right/>
      <x:top/>
      <x:bottom style="thin">
        <x:color rgb="FFE6E0D8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2" borderId="2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7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1" fontId="3" fillId="4" borderId="7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166534"/>
      </x:font>
      <x:fill>
        <x:patternFill patternType="solid">
          <x:bgColor rgb="FFDDF3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1E4E79"/>
      </x:font>
      <x:fill>
        <x:patternFill patternType="solid">
          <x:bgColor rgb="FFDDE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0fe4bfe064324" /><Relationship Type="http://schemas.openxmlformats.org/officeDocument/2006/relationships/theme" Target="/xl/theme/theme1.xml" Id="Rd4adba0300404991" /><Relationship Type="http://schemas.openxmlformats.org/officeDocument/2006/relationships/sharedStrings" Target="/xl/sharedStrings.xml" Id="R5896f4e26cc34e3d" /><Relationship Type="http://schemas.openxmlformats.org/officeDocument/2006/relationships/worksheet" Target="/xl/worksheets/sheet1.xml" Id="R3dc89b026df545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D243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5" hidden="0" customWidth="1"/>
    <x:col min="11" max="11" width="24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2" ht="25" customHeight="1">
      <x:c r="A2" s="9" t="str">
        <x:v>Production Budget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0" customHeight="1">
      <x:c r="A3" s="10" t="str">
        <x:v>See budget, commitments, cash paid and variance before costs become surprises.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A6" s="14" t="str">
        <x:v>Total budget</x:v>
      </x:c>
      <x:c r="B6" s="16" t="n">
        <x:f>SUM(D11:D40)</x:f>
        <x:v>9450</x:v>
      </x:c>
      <x:c r="C6" s="17"/>
      <x:c r="D6" s="18" t="str">
        <x:v>Committed</x:v>
      </x:c>
      <x:c r="E6" s="16" t="n">
        <x:f>SUM(E11:E40)</x:f>
        <x:v>8250</x:v>
      </x:c>
      <x:c r="F6" s="17"/>
      <x:c r="G6" s="18" t="str">
        <x:v>Actual paid</x:v>
      </x:c>
      <x:c r="H6" s="16" t="n">
        <x:f>SUM(F11:F40)</x:f>
        <x:v>1750</x:v>
      </x:c>
      <x:c r="I6" s="17"/>
      <x:c r="J6" s="18" t="str">
        <x:v>Remaining</x:v>
      </x:c>
      <x:c r="K6" s="16" t="n">
        <x:f>B6-H6</x:f>
        <x:v>7700</x:v>
      </x:c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</x:row>
    <x:row r="10" ht="30" customHeight="1">
      <x:c r="A10" s="27" t="str">
        <x:v>Category</x:v>
      </x:c>
      <x:c r="B10" s="28" t="str">
        <x:v>Line item</x:v>
      </x:c>
      <x:c r="C10" s="28" t="str">
        <x:v>Vendor</x:v>
      </x:c>
      <x:c r="D10" s="28" t="str">
        <x:v>Budget</x:v>
      </x:c>
      <x:c r="E10" s="28" t="str">
        <x:v>Committed</x:v>
      </x:c>
      <x:c r="F10" s="28" t="str">
        <x:v>Actual paid</x:v>
      </x:c>
      <x:c r="G10" s="28" t="str">
        <x:v>Variance</x:v>
      </x:c>
      <x:c r="H10" s="28" t="str">
        <x:v>Status</x:v>
      </x:c>
      <x:c r="I10" s="28" t="str">
        <x:v>Due date</x:v>
      </x:c>
      <x:c r="J10" s="28" t="str">
        <x:v>Payment ref</x:v>
      </x:c>
      <x:c r="K10" s="29" t="str">
        <x:v>Notes</x:v>
      </x:c>
    </x:row>
    <x:row r="11">
      <x:c r="A11" s="31" t="str">
        <x:v>Venue</x:v>
      </x:c>
      <x:c r="B11" s="31" t="str">
        <x:v>Room rental</x:v>
      </x:c>
      <x:c r="C11" s="31" t="str">
        <x:v>Example venue</x:v>
      </x:c>
      <x:c r="D11" s="33" t="n">
        <x:v>3500</x:v>
      </x:c>
      <x:c r="E11" s="33" t="n">
        <x:v>3500</x:v>
      </x:c>
      <x:c r="F11" s="33" t="n">
        <x:v>1750</x:v>
      </x:c>
      <x:c r="G11" s="17" t="n">
        <x:f>IF(D11="","",D11-F11)</x:f>
        <x:v>1750</x:v>
      </x:c>
      <x:c r="H11" s="31" t="str">
        <x:v>Part Paid</x:v>
      </x:c>
      <x:c r="I11" s="35" t="d">
        <x:v>2026-11-10T00:00:00.000Z</x:v>
      </x:c>
      <x:c r="J11" s="31" t="str">
        <x:v>DEP-001</x:v>
      </x:c>
      <x:c r="K11" s="31" t="str">
        <x:v>Example row — replace</x:v>
      </x:c>
    </x:row>
    <x:row r="12">
      <x:c r="A12" s="31" t="str">
        <x:v>Talent</x:v>
      </x:c>
      <x:c r="B12" s="31" t="str">
        <x:v>Featured artist</x:v>
      </x:c>
      <x:c r="C12" s="31" t="str">
        <x:v>Example artist</x:v>
      </x:c>
      <x:c r="D12" s="33" t="n">
        <x:v>2200</x:v>
      </x:c>
      <x:c r="E12" s="33" t="n">
        <x:v>2200</x:v>
      </x:c>
      <x:c r="F12" s="33" t="n">
        <x:v>0</x:v>
      </x:c>
      <x:c r="G12" s="17" t="n">
        <x:f>IF(D12="","",D12-F12)</x:f>
        <x:v>2200</x:v>
      </x:c>
      <x:c r="H12" s="31" t="str">
        <x:v>Contracted</x:v>
      </x:c>
      <x:c r="I12" s="35" t="d">
        <x:v>2026-11-15T00:00:00.000Z</x:v>
      </x:c>
      <x:c r="J12" s="31" t="str"/>
      <x:c r="K12" s="31" t="str">
        <x:v>Example row — replace</x:v>
      </x:c>
    </x:row>
    <x:row r="13">
      <x:c r="A13" s="31" t="str">
        <x:v>Production</x:v>
      </x:c>
      <x:c r="B13" s="31" t="str">
        <x:v>Audio package</x:v>
      </x:c>
      <x:c r="C13" s="31" t="str">
        <x:v>Example vendor</x:v>
      </x:c>
      <x:c r="D13" s="33" t="n">
        <x:v>1800</x:v>
      </x:c>
      <x:c r="E13" s="33" t="n">
        <x:v>1650</x:v>
      </x:c>
      <x:c r="F13" s="33" t="n">
        <x:v>0</x:v>
      </x:c>
      <x:c r="G13" s="17" t="n">
        <x:f>IF(D13="","",D13-F13)</x:f>
        <x:v>1800</x:v>
      </x:c>
      <x:c r="H13" s="31" t="str">
        <x:v>Quoted</x:v>
      </x:c>
      <x:c r="I13" s="35" t="d">
        <x:v>2026-11-12T00:00:00.000Z</x:v>
      </x:c>
      <x:c r="J13" s="31" t="str"/>
      <x:c r="K13" s="31" t="str">
        <x:v>Example row — replace</x:v>
      </x:c>
    </x:row>
    <x:row r="14">
      <x:c r="A14" s="31" t="str">
        <x:v>Staffing</x:v>
      </x:c>
      <x:c r="B14" s="31" t="str">
        <x:v>Event crew</x:v>
      </x:c>
      <x:c r="C14" s="31" t="str">
        <x:v>Example crew</x:v>
      </x:c>
      <x:c r="D14" s="33" t="n">
        <x:v>1200</x:v>
      </x:c>
      <x:c r="E14" s="33" t="n">
        <x:v>900</x:v>
      </x:c>
      <x:c r="F14" s="33" t="n">
        <x:v>0</x:v>
      </x:c>
      <x:c r="G14" s="17" t="n">
        <x:f>IF(D14="","",D14-F14)</x:f>
        <x:v>1200</x:v>
      </x:c>
      <x:c r="H14" s="31" t="str">
        <x:v>Quoted</x:v>
      </x:c>
      <x:c r="I14" s="35" t="d">
        <x:v>2026-11-15T00:00:00.000Z</x:v>
      </x:c>
      <x:c r="J14" s="31" t="str"/>
      <x:c r="K14" s="31" t="str">
        <x:v>Example row — replace</x:v>
      </x:c>
    </x:row>
    <x:row r="15">
      <x:c r="A15" s="31" t="str">
        <x:v>Marketing</x:v>
      </x:c>
      <x:c r="B15" s="31" t="str">
        <x:v>Paid media</x:v>
      </x:c>
      <x:c r="C15" s="31" t="str"/>
      <x:c r="D15" s="33" t="n">
        <x:v>750</x:v>
      </x:c>
      <x:c r="E15" s="33" t="n">
        <x:v>0</x:v>
      </x:c>
      <x:c r="F15" s="33" t="n">
        <x:v>0</x:v>
      </x:c>
      <x:c r="G15" s="17" t="n">
        <x:f>IF(D15="","",D15-F15)</x:f>
        <x:v>750</x:v>
      </x:c>
      <x:c r="H15" s="31" t="str">
        <x:v>Planned</x:v>
      </x:c>
      <x:c r="I15" s="35" t="d">
        <x:v>2026-11-01T00:00:00.000Z</x:v>
      </x:c>
      <x:c r="J15" s="31" t="str"/>
      <x:c r="K15" s="31" t="str">
        <x:v>Example row — replace</x:v>
      </x:c>
    </x:row>
    <x:row r="16">
      <x:c r="A16" s="31"/>
      <x:c r="B16" s="31"/>
      <x:c r="C16" s="31"/>
      <x:c r="D16" s="33"/>
      <x:c r="E16" s="33"/>
      <x:c r="F16" s="33"/>
      <x:c r="G16" s="17" t="str">
        <x:f>IF(D16="","",D16-F16)</x:f>
      </x:c>
      <x:c r="H16" s="31"/>
      <x:c r="I16" s="35"/>
      <x:c r="J16" s="31"/>
      <x:c r="K16" s="31"/>
    </x:row>
    <x:row r="17">
      <x:c r="A17" s="31"/>
      <x:c r="B17" s="31"/>
      <x:c r="C17" s="31"/>
      <x:c r="D17" s="33"/>
      <x:c r="E17" s="33"/>
      <x:c r="F17" s="33"/>
      <x:c r="G17" s="17" t="str">
        <x:f>IF(D17="","",D17-F17)</x:f>
      </x:c>
      <x:c r="H17" s="31"/>
      <x:c r="I17" s="35"/>
      <x:c r="J17" s="31"/>
      <x:c r="K17" s="31"/>
    </x:row>
    <x:row r="18">
      <x:c r="A18" s="31"/>
      <x:c r="B18" s="31"/>
      <x:c r="C18" s="31"/>
      <x:c r="D18" s="33"/>
      <x:c r="E18" s="33"/>
      <x:c r="F18" s="33"/>
      <x:c r="G18" s="17" t="str">
        <x:f>IF(D18="","",D18-F18)</x:f>
      </x:c>
      <x:c r="H18" s="31"/>
      <x:c r="I18" s="35"/>
      <x:c r="J18" s="31"/>
      <x:c r="K18" s="31"/>
    </x:row>
    <x:row r="19">
      <x:c r="A19" s="31"/>
      <x:c r="B19" s="31"/>
      <x:c r="C19" s="31"/>
      <x:c r="D19" s="33"/>
      <x:c r="E19" s="33"/>
      <x:c r="F19" s="33"/>
      <x:c r="G19" s="17" t="str">
        <x:f>IF(D19="","",D19-F19)</x:f>
      </x:c>
      <x:c r="H19" s="31"/>
      <x:c r="I19" s="35"/>
      <x:c r="J19" s="31"/>
      <x:c r="K19" s="31"/>
    </x:row>
    <x:row r="20">
      <x:c r="A20" s="31"/>
      <x:c r="B20" s="31"/>
      <x:c r="C20" s="31"/>
      <x:c r="D20" s="33"/>
      <x:c r="E20" s="33"/>
      <x:c r="F20" s="33"/>
      <x:c r="G20" s="17" t="str">
        <x:f>IF(D20="","",D20-F20)</x:f>
      </x:c>
      <x:c r="H20" s="31"/>
      <x:c r="I20" s="35"/>
      <x:c r="J20" s="31"/>
      <x:c r="K20" s="31"/>
    </x:row>
    <x:row r="21">
      <x:c r="A21" s="31"/>
      <x:c r="B21" s="31"/>
      <x:c r="C21" s="31"/>
      <x:c r="D21" s="33"/>
      <x:c r="E21" s="33"/>
      <x:c r="F21" s="33"/>
      <x:c r="G21" s="17" t="str">
        <x:f>IF(D21="","",D21-F21)</x:f>
      </x:c>
      <x:c r="H21" s="31"/>
      <x:c r="I21" s="35"/>
      <x:c r="J21" s="31"/>
      <x:c r="K21" s="31"/>
    </x:row>
    <x:row r="22">
      <x:c r="A22" s="31"/>
      <x:c r="B22" s="31"/>
      <x:c r="C22" s="31"/>
      <x:c r="D22" s="33"/>
      <x:c r="E22" s="33"/>
      <x:c r="F22" s="33"/>
      <x:c r="G22" s="17" t="str">
        <x:f>IF(D22="","",D22-F22)</x:f>
      </x:c>
      <x:c r="H22" s="31"/>
      <x:c r="I22" s="35"/>
      <x:c r="J22" s="31"/>
      <x:c r="K22" s="31"/>
    </x:row>
    <x:row r="23">
      <x:c r="A23" s="31"/>
      <x:c r="B23" s="31"/>
      <x:c r="C23" s="31"/>
      <x:c r="D23" s="33"/>
      <x:c r="E23" s="33"/>
      <x:c r="F23" s="33"/>
      <x:c r="G23" s="17" t="str">
        <x:f>IF(D23="","",D23-F23)</x:f>
      </x:c>
      <x:c r="H23" s="31"/>
      <x:c r="I23" s="35"/>
      <x:c r="J23" s="31"/>
      <x:c r="K23" s="31"/>
    </x:row>
    <x:row r="24">
      <x:c r="A24" s="31"/>
      <x:c r="B24" s="31"/>
      <x:c r="C24" s="31"/>
      <x:c r="D24" s="33"/>
      <x:c r="E24" s="33"/>
      <x:c r="F24" s="33"/>
      <x:c r="G24" s="17" t="str">
        <x:f>IF(D24="","",D24-F24)</x:f>
      </x:c>
      <x:c r="H24" s="31"/>
      <x:c r="I24" s="35"/>
      <x:c r="J24" s="31"/>
      <x:c r="K24" s="31"/>
    </x:row>
    <x:row r="25">
      <x:c r="A25" s="31"/>
      <x:c r="B25" s="31"/>
      <x:c r="C25" s="31"/>
      <x:c r="D25" s="33"/>
      <x:c r="E25" s="33"/>
      <x:c r="F25" s="33"/>
      <x:c r="G25" s="17" t="str">
        <x:f>IF(D25="","",D25-F25)</x:f>
      </x:c>
      <x:c r="H25" s="31"/>
      <x:c r="I25" s="35"/>
      <x:c r="J25" s="31"/>
      <x:c r="K25" s="31"/>
    </x:row>
    <x:row r="26">
      <x:c r="A26" s="31"/>
      <x:c r="B26" s="31"/>
      <x:c r="C26" s="31"/>
      <x:c r="D26" s="33"/>
      <x:c r="E26" s="33"/>
      <x:c r="F26" s="33"/>
      <x:c r="G26" s="17" t="str">
        <x:f>IF(D26="","",D26-F26)</x:f>
      </x:c>
      <x:c r="H26" s="31"/>
      <x:c r="I26" s="35"/>
      <x:c r="J26" s="31"/>
      <x:c r="K26" s="31"/>
    </x:row>
    <x:row r="27">
      <x:c r="A27" s="31"/>
      <x:c r="B27" s="31"/>
      <x:c r="C27" s="31"/>
      <x:c r="D27" s="33"/>
      <x:c r="E27" s="33"/>
      <x:c r="F27" s="33"/>
      <x:c r="G27" s="17" t="str">
        <x:f>IF(D27="","",D27-F27)</x:f>
      </x:c>
      <x:c r="H27" s="31"/>
      <x:c r="I27" s="35"/>
      <x:c r="J27" s="31"/>
      <x:c r="K27" s="31"/>
    </x:row>
    <x:row r="28">
      <x:c r="A28" s="31"/>
      <x:c r="B28" s="31"/>
      <x:c r="C28" s="31"/>
      <x:c r="D28" s="33"/>
      <x:c r="E28" s="33"/>
      <x:c r="F28" s="33"/>
      <x:c r="G28" s="17" t="str">
        <x:f>IF(D28="","",D28-F28)</x:f>
      </x:c>
      <x:c r="H28" s="31"/>
      <x:c r="I28" s="35"/>
      <x:c r="J28" s="31"/>
      <x:c r="K28" s="31"/>
    </x:row>
    <x:row r="29">
      <x:c r="A29" s="31"/>
      <x:c r="B29" s="31"/>
      <x:c r="C29" s="31"/>
      <x:c r="D29" s="33"/>
      <x:c r="E29" s="33"/>
      <x:c r="F29" s="33"/>
      <x:c r="G29" s="17" t="str">
        <x:f>IF(D29="","",D29-F29)</x:f>
      </x:c>
      <x:c r="H29" s="31"/>
      <x:c r="I29" s="35"/>
      <x:c r="J29" s="31"/>
      <x:c r="K29" s="31"/>
    </x:row>
    <x:row r="30">
      <x:c r="A30" s="31"/>
      <x:c r="B30" s="31"/>
      <x:c r="C30" s="31"/>
      <x:c r="D30" s="33"/>
      <x:c r="E30" s="33"/>
      <x:c r="F30" s="33"/>
      <x:c r="G30" s="17" t="str">
        <x:f>IF(D30="","",D30-F30)</x:f>
      </x:c>
      <x:c r="H30" s="31"/>
      <x:c r="I30" s="35"/>
      <x:c r="J30" s="31"/>
      <x:c r="K30" s="31"/>
    </x:row>
    <x:row r="31">
      <x:c r="A31" s="31"/>
      <x:c r="B31" s="31"/>
      <x:c r="C31" s="31"/>
      <x:c r="D31" s="33"/>
      <x:c r="E31" s="33"/>
      <x:c r="F31" s="33"/>
      <x:c r="G31" s="17" t="str">
        <x:f>IF(D31="","",D31-F31)</x:f>
      </x:c>
      <x:c r="H31" s="31"/>
      <x:c r="I31" s="35"/>
      <x:c r="J31" s="31"/>
      <x:c r="K31" s="31"/>
    </x:row>
    <x:row r="32">
      <x:c r="A32" s="31"/>
      <x:c r="B32" s="31"/>
      <x:c r="C32" s="31"/>
      <x:c r="D32" s="33"/>
      <x:c r="E32" s="33"/>
      <x:c r="F32" s="33"/>
      <x:c r="G32" s="17" t="str">
        <x:f>IF(D32="","",D32-F32)</x:f>
      </x:c>
      <x:c r="H32" s="31"/>
      <x:c r="I32" s="35"/>
      <x:c r="J32" s="31"/>
      <x:c r="K32" s="31"/>
    </x:row>
    <x:row r="33">
      <x:c r="A33" s="31"/>
      <x:c r="B33" s="31"/>
      <x:c r="C33" s="31"/>
      <x:c r="D33" s="33"/>
      <x:c r="E33" s="33"/>
      <x:c r="F33" s="33"/>
      <x:c r="G33" s="17" t="str">
        <x:f>IF(D33="","",D33-F33)</x:f>
      </x:c>
      <x:c r="H33" s="31"/>
      <x:c r="I33" s="35"/>
      <x:c r="J33" s="31"/>
      <x:c r="K33" s="31"/>
    </x:row>
    <x:row r="34">
      <x:c r="A34" s="31"/>
      <x:c r="B34" s="31"/>
      <x:c r="C34" s="31"/>
      <x:c r="D34" s="33"/>
      <x:c r="E34" s="33"/>
      <x:c r="F34" s="33"/>
      <x:c r="G34" s="17" t="str">
        <x:f>IF(D34="","",D34-F34)</x:f>
      </x:c>
      <x:c r="H34" s="31"/>
      <x:c r="I34" s="35"/>
      <x:c r="J34" s="31"/>
      <x:c r="K34" s="31"/>
    </x:row>
    <x:row r="35">
      <x:c r="A35" s="31"/>
      <x:c r="B35" s="31"/>
      <x:c r="C35" s="31"/>
      <x:c r="D35" s="33"/>
      <x:c r="E35" s="33"/>
      <x:c r="F35" s="33"/>
      <x:c r="G35" s="17" t="str">
        <x:f>IF(D35="","",D35-F35)</x:f>
      </x:c>
      <x:c r="H35" s="31"/>
      <x:c r="I35" s="35"/>
      <x:c r="J35" s="31"/>
      <x:c r="K35" s="31"/>
    </x:row>
    <x:row r="36">
      <x:c r="A36" s="31"/>
      <x:c r="B36" s="31"/>
      <x:c r="C36" s="31"/>
      <x:c r="D36" s="33"/>
      <x:c r="E36" s="33"/>
      <x:c r="F36" s="33"/>
      <x:c r="G36" s="17" t="str">
        <x:f>IF(D36="","",D36-F36)</x:f>
      </x:c>
      <x:c r="H36" s="31"/>
      <x:c r="I36" s="35"/>
      <x:c r="J36" s="31"/>
      <x:c r="K36" s="31"/>
    </x:row>
    <x:row r="37">
      <x:c r="A37" s="31"/>
      <x:c r="B37" s="31"/>
      <x:c r="C37" s="31"/>
      <x:c r="D37" s="33"/>
      <x:c r="E37" s="33"/>
      <x:c r="F37" s="33"/>
      <x:c r="G37" s="17" t="str">
        <x:f>IF(D37="","",D37-F37)</x:f>
      </x:c>
      <x:c r="H37" s="31"/>
      <x:c r="I37" s="35"/>
      <x:c r="J37" s="31"/>
      <x:c r="K37" s="31"/>
    </x:row>
    <x:row r="38">
      <x:c r="A38" s="31"/>
      <x:c r="B38" s="31"/>
      <x:c r="C38" s="31"/>
      <x:c r="D38" s="33"/>
      <x:c r="E38" s="33"/>
      <x:c r="F38" s="33"/>
      <x:c r="G38" s="17" t="str">
        <x:f>IF(D38="","",D38-F38)</x:f>
      </x:c>
      <x:c r="H38" s="31"/>
      <x:c r="I38" s="35"/>
      <x:c r="J38" s="31"/>
      <x:c r="K38" s="31"/>
    </x:row>
    <x:row r="39">
      <x:c r="A39" s="31"/>
      <x:c r="B39" s="31"/>
      <x:c r="C39" s="31"/>
      <x:c r="D39" s="33"/>
      <x:c r="E39" s="33"/>
      <x:c r="F39" s="33"/>
      <x:c r="G39" s="17" t="str">
        <x:f>IF(D39="","",D39-F39)</x:f>
      </x:c>
      <x:c r="H39" s="31"/>
      <x:c r="I39" s="35"/>
      <x:c r="J39" s="31"/>
      <x:c r="K39" s="31"/>
    </x:row>
    <x:row r="40">
      <x:c r="A40" s="32"/>
      <x:c r="B40" s="32"/>
      <x:c r="C40" s="32"/>
      <x:c r="D40" s="34"/>
      <x:c r="E40" s="34"/>
      <x:c r="F40" s="34"/>
      <x:c r="G40" s="17" t="str">
        <x:f>IF(D40="","",D40-F40)</x:f>
      </x:c>
      <x:c r="H40" s="32"/>
      <x:c r="I40" s="36"/>
      <x:c r="J40" s="32"/>
      <x:c r="K40" s="32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</x:row>
    <x:row r="43" ht="38" customHeight="1">
      <x:c r="A43" s="38" t="str">
        <x:v>Quick start: replace the examples and enter budget, committed and actual amounts. Variance and remaining budget update automatically; negative variance flags overspend.</x:v>
      </x:c>
      <x:c r="B43" s="8"/>
      <x:c r="C43" s="8"/>
      <x:c r="D43" s="8"/>
      <x:c r="E43" s="8"/>
      <x:c r="F43" s="8"/>
      <x:c r="G43" s="8"/>
      <x:c r="H43" s="8"/>
      <x:c r="I43" s="8"/>
      <x:c r="J43" s="8"/>
      <x:c r="K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</x:row>
  </x:sheetData>
  <x:mergeCells>
    <x:mergeCell ref="A2:K2"/>
    <x:mergeCell ref="A3:K3"/>
    <x:mergeCell ref="A43:K43"/>
  </x:mergeCells>
  <x:conditionalFormatting sqref="G11:G40">
    <x:cfRule type="cellIs" dxfId="0" priority="1" operator="lessThan">
      <x:formula>0</x:formula>
    </x:cfRule>
  </x:conditionalFormatting>
  <x:conditionalFormatting sqref="H11:H40">
    <x:cfRule type="expression" dxfId="1" priority="2">
      <x:formula>$H11="Paid"</x:formula>
    </x:cfRule>
    <x:cfRule type="expression" dxfId="2" priority="3">
      <x:formula>$H11="At Risk"</x:formula>
    </x:cfRule>
    <x:cfRule type="expression" dxfId="3" priority="4">
      <x:formula>$H11="Part Paid"</x:formula>
    </x:cfRule>
  </x:conditionalFormatting>
  <x:dataValidations count="1">
    <x:dataValidation type="list" sqref="H11:H40">
      <x:formula1>"Planned,Quoted,Contracted,Part Paid,Paid,At Risk"</x:formula1>
    </x:dataValidation>
  </x:dataValidations>
  <x:pageMargins left="0.7" right="0.7" top="0.75" bottom="0.75" header="0.3" footer="0.3"/>
</x:worksheet>
</file>
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9d9c7e652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ing Desk" sheetId="1" r:id="R8c86ad4aec86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mm/dd/yy"/>
    <x:numFmt numFmtId="202" formatCode="0%"/>
  </x:numFmts>
  <x:fonts count="7">
    <x:font>
      <x:sz val="11"/>
      <x:name val="Carlito"/>
    </x:font>
    <x:font>
      <x:b/>
      <x:sz val="16"/>
      <x:color rgb="FF2D2438"/>
      <x:name val="Arial"/>
    </x:font>
    <x:font>
      <x:i/>
      <x:sz val="10"/>
      <x:color rgb="FF655B70"/>
      <x:name val="Arial"/>
    </x:font>
    <x:font>
      <x:sz val="10"/>
      <x:color rgb="FF2D2438"/>
      <x:name val="Arial"/>
    </x:font>
    <x:font>
      <x:b/>
      <x:sz val="10"/>
      <x:color rgb="FF2D2438"/>
      <x:name val="Arial"/>
    </x:font>
    <x:font>
      <x:i/>
      <x:sz val="10"/>
      <x:color rgb="FF2D24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7F3EC"/>
      </x:patternFill>
    </x:fill>
    <x:fill>
      <x:patternFill patternType="solid">
        <x:fgColor rgb="FF2D2438"/>
      </x:patternFill>
    </x:fill>
    <x:fill>
      <x:patternFill patternType="solid">
        <x:fgColor rgb="FFFFF8E7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F5B942"/>
      </x:bottom>
      <x:diagonal/>
    </x:border>
    <x:border>
      <x:left style="thin">
        <x:color rgb="FFD9D0C4"/>
      </x:left>
      <x:right/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D9D0C4"/>
      </x:right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/>
      <x:top/>
      <x:bottom style="medium">
        <x:color rgb="FFF5B942"/>
      </x:bottom>
      <x:diagonal/>
    </x:border>
    <x:border>
      <x:left/>
      <x:right/>
      <x:top/>
      <x:bottom style="thin">
        <x:color rgb="FFE6E0D8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2" borderId="2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6" fillId="3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3" fillId="4" borderId="7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2" fontId="3" fillId="4" borderId="7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b/>
        <x:color rgb="FF991B1B"/>
      </x:font>
      <x:fill>
        <x:patternFill patternType="solid">
          <x:bgColor rgb="FFFCE4E4"/>
        </x:patternFill>
      </x:fill>
    </x:dxf>
    <x:dxf>
      <x:font>
        <x:b/>
        <x:color rgb="FF1E4E79"/>
      </x:font>
      <x:fill>
        <x:patternFill patternType="solid">
          <x:bgColor rgb="FFDDE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d54db56f944cce" /><Relationship Type="http://schemas.openxmlformats.org/officeDocument/2006/relationships/theme" Target="/xl/theme/theme1.xml" Id="R1293cfa283a748a1" /><Relationship Type="http://schemas.openxmlformats.org/officeDocument/2006/relationships/sharedStrings" Target="/xl/sharedStrings.xml" Id="R17da6402f70744a1" /><Relationship Type="http://schemas.openxmlformats.org/officeDocument/2006/relationships/worksheet" Target="/xl/worksheets/sheet1.xml" Id="R8c86ad4aec86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D243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13" hidden="0" customWidth="1"/>
    <x:col min="5" max="5" width="20" hidden="0" customWidth="1"/>
    <x:col min="6" max="6" width="14" hidden="0" customWidth="1"/>
    <x:col min="7" max="7" width="12" hidden="0" customWidth="1"/>
    <x:col min="8" max="8" width="11" hidden="0" customWidth="1"/>
    <x:col min="9" max="9" width="13" hidden="0" customWidth="1"/>
    <x:col min="10" max="10" width="13" hidden="0" customWidth="1"/>
    <x:col min="11" max="11" width="15" hidden="0" customWidth="1"/>
    <x:col min="12" max="12" width="22" hidden="0" customWidth="1"/>
    <x:col min="13" max="13" width="24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25" customHeight="1">
      <x:c r="A2" s="9" t="str">
        <x:v>Booking Desk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0" customHeight="1">
      <x:c r="A3" s="10" t="str">
        <x:v>A lightweight pipeline for inquiries, confirmed work, deposits and balances.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>
      <x:c r="A6" s="14" t="str">
        <x:v>Pipeline value</x:v>
      </x:c>
      <x:c r="B6" s="16" t="n">
        <x:f>SUM(G11:G35)</x:f>
        <x:v>6950</x:v>
      </x:c>
      <x:c r="C6" s="17"/>
      <x:c r="D6" s="18" t="str">
        <x:v>Confirmed value</x:v>
      </x:c>
      <x:c r="E6" s="16" t="n">
        <x:f>SUMIFS(G11:G35,F11:F35,"Confirmed")</x:f>
        <x:v>4200</x:v>
      </x:c>
      <x:c r="F6" s="8"/>
      <x:c r="G6" s="14" t="str">
        <x:v>Deposits due</x:v>
      </x:c>
      <x:c r="H6" s="16" t="n">
        <x:f>SUM(I11:I35)</x:f>
        <x:v>3025</x:v>
      </x:c>
      <x:c r="I6" s="8"/>
      <x:c r="J6" s="14" t="str">
        <x:v>Open bookings</x:v>
      </x:c>
      <x:c r="K6" s="15" t="n">
        <x:f>COUNTIFS(F11:F35,"&lt;&gt;Complete",A11:A35,"&lt;&gt;")</x:f>
        <x:v>3</x:v>
      </x:c>
      <x:c r="L6" s="8"/>
      <x:c r="M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</x:row>
    <x:row r="10" ht="28" customHeight="1">
      <x:c r="A10" s="24" t="str">
        <x:v>Booking ID</x:v>
      </x:c>
      <x:c r="B10" s="25" t="str">
        <x:v>Event</x:v>
      </x:c>
      <x:c r="C10" s="25" t="str">
        <x:v>Client</x:v>
      </x:c>
      <x:c r="D10" s="25" t="str">
        <x:v>Event date</x:v>
      </x:c>
      <x:c r="E10" s="25" t="str">
        <x:v>Venue</x:v>
      </x:c>
      <x:c r="F10" s="25" t="str">
        <x:v>Status</x:v>
      </x:c>
      <x:c r="G10" s="25" t="str">
        <x:v>Value</x:v>
      </x:c>
      <x:c r="H10" s="25" t="str">
        <x:v>Deposit %</x:v>
      </x:c>
      <x:c r="I10" s="25" t="str">
        <x:v>Deposit due</x:v>
      </x:c>
      <x:c r="J10" s="25" t="str">
        <x:v>Balance due</x:v>
      </x:c>
      <x:c r="K10" s="25" t="str">
        <x:v>Owner</x:v>
      </x:c>
      <x:c r="L10" s="25" t="str">
        <x:v>Next action</x:v>
      </x:c>
      <x:c r="M10" s="26" t="str">
        <x:v>Notes</x:v>
      </x:c>
    </x:row>
    <x:row r="11">
      <x:c r="A11" s="28" t="str">
        <x:v>BK-001</x:v>
      </x:c>
      <x:c r="B11" s="28" t="str">
        <x:v>Opening night</x:v>
      </x:c>
      <x:c r="C11" s="28" t="str">
        <x:v>Sample client</x:v>
      </x:c>
      <x:c r="D11" s="30" t="d">
        <x:v>2026-11-12T00:00:00.000Z</x:v>
      </x:c>
      <x:c r="E11" s="28" t="str">
        <x:v>Main Hall</x:v>
      </x:c>
      <x:c r="F11" s="28" t="str">
        <x:v>Confirmed</x:v>
      </x:c>
      <x:c r="G11" s="32" t="n">
        <x:v>4200</x:v>
      </x:c>
      <x:c r="H11" s="34" t="n">
        <x:v>0.5</x:v>
      </x:c>
      <x:c r="I11" s="17" t="n">
        <x:f>IF(OR(G11="",H11=""),"",G11*H11)</x:f>
        <x:v>2100</x:v>
      </x:c>
      <x:c r="J11" s="17" t="n">
        <x:f>IF(G11="","",G11-I11)</x:f>
        <x:v>2100</x:v>
      </x:c>
      <x:c r="K11" s="28" t="str">
        <x:v>Keenan</x:v>
      </x:c>
      <x:c r="L11" s="28" t="str">
        <x:v>Send final schedule</x:v>
      </x:c>
      <x:c r="M11" s="28" t="str">
        <x:v>Example row - replace</x:v>
      </x:c>
    </x:row>
    <x:row r="12">
      <x:c r="A12" s="28" t="str">
        <x:v>BK-002</x:v>
      </x:c>
      <x:c r="B12" s="28" t="str">
        <x:v>Workshop series</x:v>
      </x:c>
      <x:c r="C12" s="28" t="str">
        <x:v>Sample partner</x:v>
      </x:c>
      <x:c r="D12" s="30" t="d">
        <x:v>2026-11-18T00:00:00.000Z</x:v>
      </x:c>
      <x:c r="E12" s="28" t="str">
        <x:v>Studio B</x:v>
      </x:c>
      <x:c r="F12" s="28" t="str">
        <x:v>In Progress</x:v>
      </x:c>
      <x:c r="G12" s="32" t="n">
        <x:v>1800</x:v>
      </x:c>
      <x:c r="H12" s="34" t="n">
        <x:v>0.25</x:v>
      </x:c>
      <x:c r="I12" s="17" t="n">
        <x:f>IF(OR(G12="",H12=""),"",G12*H12)</x:f>
        <x:v>450</x:v>
      </x:c>
      <x:c r="J12" s="17" t="n">
        <x:f>IF(G12="","",G12-I12)</x:f>
        <x:v>1350</x:v>
      </x:c>
      <x:c r="K12" s="28" t="str">
        <x:v>Keenan</x:v>
      </x:c>
      <x:c r="L12" s="28" t="str">
        <x:v>Confirm headcount</x:v>
      </x:c>
      <x:c r="M12" s="28" t="str">
        <x:v>Example row - replace</x:v>
      </x:c>
    </x:row>
    <x:row r="13">
      <x:c r="A13" s="28" t="str">
        <x:v>BK-003</x:v>
      </x:c>
      <x:c r="B13" s="28" t="str">
        <x:v>Private screening</x:v>
      </x:c>
      <x:c r="C13" s="28" t="str">
        <x:v>Sample guest</x:v>
      </x:c>
      <x:c r="D13" s="30" t="d">
        <x:v>2026-12-05T00:00:00.000Z</x:v>
      </x:c>
      <x:c r="E13" s="28" t="str">
        <x:v>Screening Room</x:v>
      </x:c>
      <x:c r="F13" s="28" t="str">
        <x:v>Inquiry</x:v>
      </x:c>
      <x:c r="G13" s="32" t="n">
        <x:v>950</x:v>
      </x:c>
      <x:c r="H13" s="34" t="n">
        <x:v>0.5</x:v>
      </x:c>
      <x:c r="I13" s="17" t="n">
        <x:f>IF(OR(G13="",H13=""),"",G13*H13)</x:f>
        <x:v>475</x:v>
      </x:c>
      <x:c r="J13" s="17" t="n">
        <x:f>IF(G13="","",G13-I13)</x:f>
        <x:v>475</x:v>
      </x:c>
      <x:c r="K13" s="28" t="str">
        <x:v>Keenan</x:v>
      </x:c>
      <x:c r="L13" s="28" t="str">
        <x:v>Follow up Friday</x:v>
      </x:c>
      <x:c r="M13" s="28" t="str">
        <x:v>Example row - replace</x:v>
      </x:c>
    </x:row>
    <x:row r="14">
      <x:c r="A14" s="28"/>
      <x:c r="B14" s="28"/>
      <x:c r="C14" s="28"/>
      <x:c r="D14" s="30"/>
      <x:c r="E14" s="28"/>
      <x:c r="F14" s="28"/>
      <x:c r="G14" s="32"/>
      <x:c r="H14" s="34"/>
      <x:c r="I14" s="17" t="str">
        <x:f>IF(OR(G14="",H14=""),"",G14*H14)</x:f>
      </x:c>
      <x:c r="J14" s="17" t="str">
        <x:f>IF(G14="","",G14-I14)</x:f>
      </x:c>
      <x:c r="K14" s="28"/>
      <x:c r="L14" s="28"/>
      <x:c r="M14" s="28"/>
    </x:row>
    <x:row r="15">
      <x:c r="A15" s="28"/>
      <x:c r="B15" s="28"/>
      <x:c r="C15" s="28"/>
      <x:c r="D15" s="30"/>
      <x:c r="E15" s="28"/>
      <x:c r="F15" s="28"/>
      <x:c r="G15" s="32"/>
      <x:c r="H15" s="34"/>
      <x:c r="I15" s="17" t="str">
        <x:f>IF(OR(G15="",H15=""),"",G15*H15)</x:f>
      </x:c>
      <x:c r="J15" s="17" t="str">
        <x:f>IF(G15="","",G15-I15)</x:f>
      </x:c>
      <x:c r="K15" s="28"/>
      <x:c r="L15" s="28"/>
      <x:c r="M15" s="28"/>
    </x:row>
    <x:row r="16">
      <x:c r="A16" s="28"/>
      <x:c r="B16" s="28"/>
      <x:c r="C16" s="28"/>
      <x:c r="D16" s="30"/>
      <x:c r="E16" s="28"/>
      <x:c r="F16" s="28"/>
      <x:c r="G16" s="32"/>
      <x:c r="H16" s="34"/>
      <x:c r="I16" s="17" t="str">
        <x:f>IF(OR(G16="",H16=""),"",G16*H16)</x:f>
      </x:c>
      <x:c r="J16" s="17" t="str">
        <x:f>IF(G16="","",G16-I16)</x:f>
      </x:c>
      <x:c r="K16" s="28"/>
      <x:c r="L16" s="28"/>
      <x:c r="M16" s="28"/>
    </x:row>
    <x:row r="17">
      <x:c r="A17" s="28"/>
      <x:c r="B17" s="28"/>
      <x:c r="C17" s="28"/>
      <x:c r="D17" s="30"/>
      <x:c r="E17" s="28"/>
      <x:c r="F17" s="28"/>
      <x:c r="G17" s="32"/>
      <x:c r="H17" s="34"/>
      <x:c r="I17" s="17" t="str">
        <x:f>IF(OR(G17="",H17=""),"",G17*H17)</x:f>
      </x:c>
      <x:c r="J17" s="17" t="str">
        <x:f>IF(G17="","",G17-I17)</x:f>
      </x:c>
      <x:c r="K17" s="28"/>
      <x:c r="L17" s="28"/>
      <x:c r="M17" s="28"/>
    </x:row>
    <x:row r="18">
      <x:c r="A18" s="28"/>
      <x:c r="B18" s="28"/>
      <x:c r="C18" s="28"/>
      <x:c r="D18" s="30"/>
      <x:c r="E18" s="28"/>
      <x:c r="F18" s="28"/>
      <x:c r="G18" s="32"/>
      <x:c r="H18" s="34"/>
      <x:c r="I18" s="17" t="str">
        <x:f>IF(OR(G18="",H18=""),"",G18*H18)</x:f>
      </x:c>
      <x:c r="J18" s="17" t="str">
        <x:f>IF(G18="","",G18-I18)</x:f>
      </x:c>
      <x:c r="K18" s="28"/>
      <x:c r="L18" s="28"/>
      <x:c r="M18" s="28"/>
    </x:row>
    <x:row r="19">
      <x:c r="A19" s="28"/>
      <x:c r="B19" s="28"/>
      <x:c r="C19" s="28"/>
      <x:c r="D19" s="30"/>
      <x:c r="E19" s="28"/>
      <x:c r="F19" s="28"/>
      <x:c r="G19" s="32"/>
      <x:c r="H19" s="34"/>
      <x:c r="I19" s="17" t="str">
        <x:f>IF(OR(G19="",H19=""),"",G19*H19)</x:f>
      </x:c>
      <x:c r="J19" s="17" t="str">
        <x:f>IF(G19="","",G19-I19)</x:f>
      </x:c>
      <x:c r="K19" s="28"/>
      <x:c r="L19" s="28"/>
      <x:c r="M19" s="28"/>
    </x:row>
    <x:row r="20">
      <x:c r="A20" s="28"/>
      <x:c r="B20" s="28"/>
      <x:c r="C20" s="28"/>
      <x:c r="D20" s="30"/>
      <x:c r="E20" s="28"/>
      <x:c r="F20" s="28"/>
      <x:c r="G20" s="32"/>
      <x:c r="H20" s="34"/>
      <x:c r="I20" s="17" t="str">
        <x:f>IF(OR(G20="",H20=""),"",G20*H20)</x:f>
      </x:c>
      <x:c r="J20" s="17" t="str">
        <x:f>IF(G20="","",G20-I20)</x:f>
      </x:c>
      <x:c r="K20" s="28"/>
      <x:c r="L20" s="28"/>
      <x:c r="M20" s="28"/>
    </x:row>
    <x:row r="21">
      <x:c r="A21" s="28"/>
      <x:c r="B21" s="28"/>
      <x:c r="C21" s="28"/>
      <x:c r="D21" s="30"/>
      <x:c r="E21" s="28"/>
      <x:c r="F21" s="28"/>
      <x:c r="G21" s="32"/>
      <x:c r="H21" s="34"/>
      <x:c r="I21" s="17" t="str">
        <x:f>IF(OR(G21="",H21=""),"",G21*H21)</x:f>
      </x:c>
      <x:c r="J21" s="17" t="str">
        <x:f>IF(G21="","",G21-I21)</x:f>
      </x:c>
      <x:c r="K21" s="28"/>
      <x:c r="L21" s="28"/>
      <x:c r="M21" s="28"/>
    </x:row>
    <x:row r="22">
      <x:c r="A22" s="28"/>
      <x:c r="B22" s="28"/>
      <x:c r="C22" s="28"/>
      <x:c r="D22" s="30"/>
      <x:c r="E22" s="28"/>
      <x:c r="F22" s="28"/>
      <x:c r="G22" s="32"/>
      <x:c r="H22" s="34"/>
      <x:c r="I22" s="17" t="str">
        <x:f>IF(OR(G22="",H22=""),"",G22*H22)</x:f>
      </x:c>
      <x:c r="J22" s="17" t="str">
        <x:f>IF(G22="","",G22-I22)</x:f>
      </x:c>
      <x:c r="K22" s="28"/>
      <x:c r="L22" s="28"/>
      <x:c r="M22" s="28"/>
    </x:row>
    <x:row r="23">
      <x:c r="A23" s="28"/>
      <x:c r="B23" s="28"/>
      <x:c r="C23" s="28"/>
      <x:c r="D23" s="30"/>
      <x:c r="E23" s="28"/>
      <x:c r="F23" s="28"/>
      <x:c r="G23" s="32"/>
      <x:c r="H23" s="34"/>
      <x:c r="I23" s="17" t="str">
        <x:f>IF(OR(G23="",H23=""),"",G23*H23)</x:f>
      </x:c>
      <x:c r="J23" s="17" t="str">
        <x:f>IF(G23="","",G23-I23)</x:f>
      </x:c>
      <x:c r="K23" s="28"/>
      <x:c r="L23" s="28"/>
      <x:c r="M23" s="28"/>
    </x:row>
    <x:row r="24">
      <x:c r="A24" s="28"/>
      <x:c r="B24" s="28"/>
      <x:c r="C24" s="28"/>
      <x:c r="D24" s="30"/>
      <x:c r="E24" s="28"/>
      <x:c r="F24" s="28"/>
      <x:c r="G24" s="32"/>
      <x:c r="H24" s="34"/>
      <x:c r="I24" s="17" t="str">
        <x:f>IF(OR(G24="",H24=""),"",G24*H24)</x:f>
      </x:c>
      <x:c r="J24" s="17" t="str">
        <x:f>IF(G24="","",G24-I24)</x:f>
      </x:c>
      <x:c r="K24" s="28"/>
      <x:c r="L24" s="28"/>
      <x:c r="M24" s="28"/>
    </x:row>
    <x:row r="25">
      <x:c r="A25" s="28"/>
      <x:c r="B25" s="28"/>
      <x:c r="C25" s="28"/>
      <x:c r="D25" s="30"/>
      <x:c r="E25" s="28"/>
      <x:c r="F25" s="28"/>
      <x:c r="G25" s="32"/>
      <x:c r="H25" s="34"/>
      <x:c r="I25" s="17" t="str">
        <x:f>IF(OR(G25="",H25=""),"",G25*H25)</x:f>
      </x:c>
      <x:c r="J25" s="17" t="str">
        <x:f>IF(G25="","",G25-I25)</x:f>
      </x:c>
      <x:c r="K25" s="28"/>
      <x:c r="L25" s="28"/>
      <x:c r="M25" s="28"/>
    </x:row>
    <x:row r="26">
      <x:c r="A26" s="28"/>
      <x:c r="B26" s="28"/>
      <x:c r="C26" s="28"/>
      <x:c r="D26" s="30"/>
      <x:c r="E26" s="28"/>
      <x:c r="F26" s="28"/>
      <x:c r="G26" s="32"/>
      <x:c r="H26" s="34"/>
      <x:c r="I26" s="17" t="str">
        <x:f>IF(OR(G26="",H26=""),"",G26*H26)</x:f>
      </x:c>
      <x:c r="J26" s="17" t="str">
        <x:f>IF(G26="","",G26-I26)</x:f>
      </x:c>
      <x:c r="K26" s="28"/>
      <x:c r="L26" s="28"/>
      <x:c r="M26" s="28"/>
    </x:row>
    <x:row r="27">
      <x:c r="A27" s="28"/>
      <x:c r="B27" s="28"/>
      <x:c r="C27" s="28"/>
      <x:c r="D27" s="30"/>
      <x:c r="E27" s="28"/>
      <x:c r="F27" s="28"/>
      <x:c r="G27" s="32"/>
      <x:c r="H27" s="34"/>
      <x:c r="I27" s="17" t="str">
        <x:f>IF(OR(G27="",H27=""),"",G27*H27)</x:f>
      </x:c>
      <x:c r="J27" s="17" t="str">
        <x:f>IF(G27="","",G27-I27)</x:f>
      </x:c>
      <x:c r="K27" s="28"/>
      <x:c r="L27" s="28"/>
      <x:c r="M27" s="28"/>
    </x:row>
    <x:row r="28">
      <x:c r="A28" s="28"/>
      <x:c r="B28" s="28"/>
      <x:c r="C28" s="28"/>
      <x:c r="D28" s="30"/>
      <x:c r="E28" s="28"/>
      <x:c r="F28" s="28"/>
      <x:c r="G28" s="32"/>
      <x:c r="H28" s="34"/>
      <x:c r="I28" s="17" t="str">
        <x:f>IF(OR(G28="",H28=""),"",G28*H28)</x:f>
      </x:c>
      <x:c r="J28" s="17" t="str">
        <x:f>IF(G28="","",G28-I28)</x:f>
      </x:c>
      <x:c r="K28" s="28"/>
      <x:c r="L28" s="28"/>
      <x:c r="M28" s="28"/>
    </x:row>
    <x:row r="29">
      <x:c r="A29" s="28"/>
      <x:c r="B29" s="28"/>
      <x:c r="C29" s="28"/>
      <x:c r="D29" s="30"/>
      <x:c r="E29" s="28"/>
      <x:c r="F29" s="28"/>
      <x:c r="G29" s="32"/>
      <x:c r="H29" s="34"/>
      <x:c r="I29" s="17" t="str">
        <x:f>IF(OR(G29="",H29=""),"",G29*H29)</x:f>
      </x:c>
      <x:c r="J29" s="17" t="str">
        <x:f>IF(G29="","",G29-I29)</x:f>
      </x:c>
      <x:c r="K29" s="28"/>
      <x:c r="L29" s="28"/>
      <x:c r="M29" s="28"/>
    </x:row>
    <x:row r="30">
      <x:c r="A30" s="28"/>
      <x:c r="B30" s="28"/>
      <x:c r="C30" s="28"/>
      <x:c r="D30" s="30"/>
      <x:c r="E30" s="28"/>
      <x:c r="F30" s="28"/>
      <x:c r="G30" s="32"/>
      <x:c r="H30" s="34"/>
      <x:c r="I30" s="17" t="str">
        <x:f>IF(OR(G30="",H30=""),"",G30*H30)</x:f>
      </x:c>
      <x:c r="J30" s="17" t="str">
        <x:f>IF(G30="","",G30-I30)</x:f>
      </x:c>
      <x:c r="K30" s="28"/>
      <x:c r="L30" s="28"/>
      <x:c r="M30" s="28"/>
    </x:row>
    <x:row r="31">
      <x:c r="A31" s="28"/>
      <x:c r="B31" s="28"/>
      <x:c r="C31" s="28"/>
      <x:c r="D31" s="30"/>
      <x:c r="E31" s="28"/>
      <x:c r="F31" s="28"/>
      <x:c r="G31" s="32"/>
      <x:c r="H31" s="34"/>
      <x:c r="I31" s="17" t="str">
        <x:f>IF(OR(G31="",H31=""),"",G31*H31)</x:f>
      </x:c>
      <x:c r="J31" s="17" t="str">
        <x:f>IF(G31="","",G31-I31)</x:f>
      </x:c>
      <x:c r="K31" s="28"/>
      <x:c r="L31" s="28"/>
      <x:c r="M31" s="28"/>
    </x:row>
    <x:row r="32">
      <x:c r="A32" s="28"/>
      <x:c r="B32" s="28"/>
      <x:c r="C32" s="28"/>
      <x:c r="D32" s="30"/>
      <x:c r="E32" s="28"/>
      <x:c r="F32" s="28"/>
      <x:c r="G32" s="32"/>
      <x:c r="H32" s="34"/>
      <x:c r="I32" s="17" t="str">
        <x:f>IF(OR(G32="",H32=""),"",G32*H32)</x:f>
      </x:c>
      <x:c r="J32" s="17" t="str">
        <x:f>IF(G32="","",G32-I32)</x:f>
      </x:c>
      <x:c r="K32" s="28"/>
      <x:c r="L32" s="28"/>
      <x:c r="M32" s="28"/>
    </x:row>
    <x:row r="33">
      <x:c r="A33" s="28"/>
      <x:c r="B33" s="28"/>
      <x:c r="C33" s="28"/>
      <x:c r="D33" s="30"/>
      <x:c r="E33" s="28"/>
      <x:c r="F33" s="28"/>
      <x:c r="G33" s="32"/>
      <x:c r="H33" s="34"/>
      <x:c r="I33" s="17" t="str">
        <x:f>IF(OR(G33="",H33=""),"",G33*H33)</x:f>
      </x:c>
      <x:c r="J33" s="17" t="str">
        <x:f>IF(G33="","",G33-I33)</x:f>
      </x:c>
      <x:c r="K33" s="28"/>
      <x:c r="L33" s="28"/>
      <x:c r="M33" s="28"/>
    </x:row>
    <x:row r="34">
      <x:c r="A34" s="28"/>
      <x:c r="B34" s="28"/>
      <x:c r="C34" s="28"/>
      <x:c r="D34" s="30"/>
      <x:c r="E34" s="28"/>
      <x:c r="F34" s="28"/>
      <x:c r="G34" s="32"/>
      <x:c r="H34" s="34"/>
      <x:c r="I34" s="17" t="str">
        <x:f>IF(OR(G34="",H34=""),"",G34*H34)</x:f>
      </x:c>
      <x:c r="J34" s="17" t="str">
        <x:f>IF(G34="","",G34-I34)</x:f>
      </x:c>
      <x:c r="K34" s="28"/>
      <x:c r="L34" s="28"/>
      <x:c r="M34" s="28"/>
    </x:row>
    <x:row r="35">
      <x:c r="A35" s="29"/>
      <x:c r="B35" s="29"/>
      <x:c r="C35" s="29"/>
      <x:c r="D35" s="31"/>
      <x:c r="E35" s="29"/>
      <x:c r="F35" s="29"/>
      <x:c r="G35" s="33"/>
      <x:c r="H35" s="35"/>
      <x:c r="I35" s="17" t="str">
        <x:f>IF(OR(G35="",H35=""),"",G35*H35)</x:f>
      </x:c>
      <x:c r="J35" s="17" t="str">
        <x:f>IF(G35="","",G35-I35)</x:f>
      </x:c>
      <x:c r="K35" s="29"/>
      <x:c r="L35" s="29"/>
      <x:c r="M35" s="29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</x:row>
    <x:row r="38" ht="35" customHeight="1">
      <x:c r="A38" s="37" t="str">
        <x:v>Quick start: replace the three example rows, choose a status, and enter value and deposit percentage. Deposit and balance amounts update automatically.</x:v>
      </x:c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</x:row>
  </x:sheetData>
  <x:mergeCells>
    <x:mergeCell ref="A2:M2"/>
    <x:mergeCell ref="A3:M3"/>
    <x:mergeCell ref="A38:M38"/>
  </x:mergeCells>
  <x:conditionalFormatting sqref="F11:F35">
    <x:cfRule type="expression" dxfId="0" priority="1">
      <x:formula>$F11="Confirmed"</x:formula>
    </x:cfRule>
    <x:cfRule type="expression" dxfId="1" priority="2">
      <x:formula>$F11="At Risk"</x:formula>
    </x:cfRule>
    <x:cfRule type="expression" dxfId="2" priority="3">
      <x:formula>$F11="In Progress"</x:formula>
    </x:cfRule>
  </x:conditionalFormatting>
  <x:dataValidations count="1">
    <x:dataValidation type="list" sqref="F11:F35">
      <x:formula1>"Inquiry,In Progress,Confirmed,At Risk,Complete"</x:formula1>
    </x:dataValidation>
  </x:dataValidations>
  <x:pageMargins left="0.7" right="0.7" top="0.75" bottom="0.75" header="0.3" footer="0.3"/>
</x:worksheet>
</file>